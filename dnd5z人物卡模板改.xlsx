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xr:revisionPtr revIDLastSave="0" documentId="13_ncr:1000001_{CD620787-2B85-CE4D-9F58-0556A2F73D40}" xr6:coauthVersionLast="47" xr6:coauthVersionMax="47" xr10:uidLastSave="{00000000-0000-0000-0000-000000000000}"/>
  <bookViews>
    <workbookView xWindow="0" yWindow="0" windowWidth="22188" windowHeight="9180" activeTab="1" xr2:uid="{00000000-000D-0000-FFFF-FFFF00000000}"/>
  </bookViews>
  <sheets>
    <sheet name="角色" sheetId="1" r:id="rId1"/>
    <sheet name="主要情况" sheetId="8" r:id="rId2"/>
    <sheet name="职业特性" sheetId="9" r:id="rId3"/>
    <sheet name="装备" sheetId="13" r:id="rId4"/>
    <sheet name="法术" sheetId="10" r:id="rId5"/>
    <sheet name="战技" sheetId="11" r:id="rId6"/>
    <sheet name="怪物" sheetId="12" r:id="rId7"/>
    <sheet name="图表" sheetId="6" r:id="rId8"/>
    <sheet name="计算器" sheetId="14" r:id="rId9"/>
  </sheets>
  <definedNames>
    <definedName name="_xlnm._FilterDatabase" localSheetId="7" hidden="1">图表!$E$329:$H$1139</definedName>
    <definedName name="矮人之坚毅">图表!$B$278</definedName>
    <definedName name="俺寻思能行">图表!$B$182</definedName>
    <definedName name="暗行者">图表!$B$164</definedName>
    <definedName name="奥法骑士">图表!$B$197</definedName>
    <definedName name="暴风龙纹">图表!$B$293</definedName>
    <definedName name="本命武器">图表!$B$195</definedName>
    <definedName name="冰封诅咒">图表!$B$244</definedName>
    <definedName name="不死生物">图表!$I$2:$I$6</definedName>
    <definedName name="拆迁法术">图表!$B$266</definedName>
    <definedName name="抄录龙纹">图表!$B$302</definedName>
    <definedName name="超自然直觉">图表!$B$80</definedName>
    <definedName name="炽烈爆发">图表!$B$246</definedName>
    <definedName name="出神入化">图表!$B$202</definedName>
    <definedName name="畜牧龙纹">图表!$B$298</definedName>
    <definedName name="穿刺者">图表!$B$68</definedName>
    <definedName name="穿透与回旋">图表!$B$110</definedName>
    <definedName name="创生圣言">图表!$B$47</definedName>
    <definedName name="创造龙纹">图表!$B$299</definedName>
    <definedName name="大厨">图表!$B$130</definedName>
    <definedName name="大一统理论">图表!$B$147</definedName>
    <definedName name="德鲁伊">图表!$K$24:$K$33</definedName>
    <definedName name="低身之机敏">图表!$B$284</definedName>
    <definedName name="第二领域">图表!$B$157</definedName>
    <definedName name="点穴">图表!$B$186</definedName>
    <definedName name="动作如潮">图表!$B$103</definedName>
    <definedName name="斗殴高手">图表!$B$132</definedName>
    <definedName name="毒师">图表!$B$165</definedName>
    <definedName name="对人立体机动装置">图表!$B$106</definedName>
    <definedName name="钝击者">图表!$B$70</definedName>
    <definedName name="盾牌大师">图表!$B$129</definedName>
    <definedName name="多样眼波射线">图表!$B$274</definedName>
    <definedName name="额外吟唱">图表!$B$161</definedName>
    <definedName name="二刀流">图表!$B$86</definedName>
    <definedName name="法师">图表!$M$24:$M$36</definedName>
    <definedName name="法术储存">图表!$B$250</definedName>
    <definedName name="法术穿透">图表!$B$177</definedName>
    <definedName name="法术对抗大师">图表!$B$62</definedName>
    <definedName name="法术分裂">图表!$B$226</definedName>
    <definedName name="法术恒久">图表!$B$267</definedName>
    <definedName name="法术极效">图表!$B$227</definedName>
    <definedName name="法术疾发">图表!$B$234</definedName>
    <definedName name="法术跨域">图表!$B$253</definedName>
    <definedName name="法术扩展">图表!$B$237</definedName>
    <definedName name="法术强效">图表!$B$228</definedName>
    <definedName name="法术射手">图表!$B$64</definedName>
    <definedName name="法术瞬发">图表!$B$232</definedName>
    <definedName name="法术速发">图表!$B$233</definedName>
    <definedName name="法术塑形">图表!$B$236</definedName>
    <definedName name="法术稳固">图表!$B$230</definedName>
    <definedName name="法术延时">图表!$B$229</definedName>
    <definedName name="法术余力">图表!$B$225</definedName>
    <definedName name="法术专攻">图表!$B$223</definedName>
    <definedName name="法术追踪">图表!$B$231</definedName>
    <definedName name="奋力冲刺">图表!$B$52</definedName>
    <definedName name="风浪射手">图表!$B$118</definedName>
    <definedName name="封锁记忆">图表!$B$257</definedName>
    <definedName name="否决神力">图表!$B$290</definedName>
    <definedName name="弗莱格索斯之焰">图表!$B$281</definedName>
    <definedName name="浮光掠影">图表!$B$107</definedName>
    <definedName name="钢铁坐骑">图表!$B$169</definedName>
    <definedName name="高等卓尔魔法">图表!$B$277</definedName>
    <definedName name="高效捕捉者">图表!$B$109</definedName>
    <definedName name="攻城专家">图表!$B$124</definedName>
    <definedName name="钩镰大师">图表!$B$112</definedName>
    <definedName name="构装生物">图表!$H$2:$H$6</definedName>
    <definedName name="怪兽">图表!$Q$2:$Q$9</definedName>
    <definedName name="观察力">图表!$B$95</definedName>
    <definedName name="贯手著棼">图表!$B$111</definedName>
    <definedName name="光之符文">图表!$B$288</definedName>
    <definedName name="虹彩塑形">图表!$B$138</definedName>
    <definedName name="虹彩学徒">图表!$B$137</definedName>
    <definedName name="荒野咆哮">图表!$B$171</definedName>
    <definedName name="挥砍者">图表!$B$69</definedName>
    <definedName name="毁灭真言">图表!$B$48</definedName>
    <definedName name="混元流登堂弟子">图表!$B$214</definedName>
    <definedName name="混元流及门弟子">图表!$B$213</definedName>
    <definedName name="混元流入室弟子">图表!$B$215</definedName>
    <definedName name="及安装">图表!$B$53</definedName>
    <definedName name="及时救难">图表!$B$255</definedName>
    <definedName name="即效法术">图表!$B$264</definedName>
    <definedName name="技艺专家">图表!$B$102</definedName>
    <definedName name="驾驶员">图表!$B$125</definedName>
    <definedName name="坚地之心">图表!$B$54</definedName>
    <definedName name="简易超魔">图表!$B$224</definedName>
    <definedName name="见切与居合">图表!$B$123</definedName>
    <definedName name="剑刃丛生">图表!$B$78</definedName>
    <definedName name="剑艺">图表!$B$145</definedName>
    <definedName name="健壮">图表!$B$53</definedName>
    <definedName name="结果">图表!$B$303</definedName>
    <definedName name="金属龙赋礼">图表!$B$66</definedName>
    <definedName name="紧急兽化">图表!$B$289</definedName>
    <definedName name="近程射手">图表!$B$72</definedName>
    <definedName name="精金躯体">图表!$B$286</definedName>
    <definedName name="精类">图表!$G$2:$G$9</definedName>
    <definedName name="精类触碰">图表!$B$56</definedName>
    <definedName name="精灵之准">图表!$B$279</definedName>
    <definedName name="精妙法术">图表!$B$235</definedName>
    <definedName name="精通反制法术">图表!$B$176</definedName>
    <definedName name="精通契约">图表!$B$174</definedName>
    <definedName name="精通巫师杀手">图表!$B$77</definedName>
    <definedName name="警觉">图表!$B$44</definedName>
    <definedName name="警戒龙纹">图表!$B$291</definedName>
    <definedName name="巨人">图表!$F$2:$F$4</definedName>
    <definedName name="巨武器大师">图表!$B$113</definedName>
    <definedName name="绝对双刃">图表!$B$89</definedName>
    <definedName name="绝境一搏">图表!$B$65</definedName>
    <definedName name="军团式作战">图表!$B$189</definedName>
    <definedName name="开山流登堂弟子">图表!$B$211</definedName>
    <definedName name="开山流及门弟子">图表!$B$210</definedName>
    <definedName name="开山流入室弟子">图表!$B$212</definedName>
    <definedName name="慷慨吉运">图表!$B$276</definedName>
    <definedName name="控制喷气口">图表!$B$273</definedName>
    <definedName name="快速使用魔法装置">图表!$B$190</definedName>
    <definedName name="狂怒">图表!$B$183</definedName>
    <definedName name="狂战士">图表!$A$24:$A$31</definedName>
    <definedName name="蓝银缠绕">图表!$B$262</definedName>
    <definedName name="类人生物">图表!$E$2:$E$17</definedName>
    <definedName name="离奇先见">图表!$B$152</definedName>
    <definedName name="历史正文">图表!$B$96</definedName>
    <definedName name="灵动借机">图表!$B$81</definedName>
    <definedName name="灵魂装备">图表!$B$92</definedName>
    <definedName name="灵活契约魔法">图表!$B$172</definedName>
    <definedName name="灵活移动">图表!$B$50</definedName>
    <definedName name="灵能师">图表!$L$24:$L$29</definedName>
    <definedName name="灵能武士">图表!$E$24:$E$28</definedName>
    <definedName name="灵胜于肉">图表!$B$194</definedName>
    <definedName name="领袖之证">图表!$B$45</definedName>
    <definedName name="龙">图表!$P$2:$P$4</definedName>
    <definedName name="龙锻">图表!$B$268</definedName>
    <definedName name="龙类变身">图表!$B$151</definedName>
    <definedName name="龙翼">图表!$B$270</definedName>
    <definedName name="龙族快速恢复">图表!$B$272</definedName>
    <definedName name="龙族天生武器">图表!$B$269</definedName>
    <definedName name="鲁莽投掷">图表!$B$184</definedName>
    <definedName name="罗比拉战术">图表!$B$83</definedName>
    <definedName name="秘法之眼">图表!$B$180</definedName>
    <definedName name="秘密幽影">图表!$B$134</definedName>
    <definedName name="敏锐心灵">图表!$B$94</definedName>
    <definedName name="命令不死生物">图表!$B$155</definedName>
    <definedName name="魔法奥秘">图表!$B$179</definedName>
    <definedName name="魔法学徒">图表!$B$61</definedName>
    <definedName name="魔法装置融合">图表!$B$192</definedName>
    <definedName name="魔力泉涌">图表!$B$222</definedName>
    <definedName name="魔能爆大师">图表!$B$173</definedName>
    <definedName name="魔能导师">图表!$B$175</definedName>
    <definedName name="牧师">图表!$J$24:$J$35</definedName>
    <definedName name="能量混合">图表!$B$242</definedName>
    <definedName name="能量替代">图表!$B$241</definedName>
    <definedName name="泥怪">图表!$N$2:$N$4</definedName>
    <definedName name="念动力">图表!$B$58</definedName>
    <definedName name="破邪斩">图表!$B$167</definedName>
    <definedName name="奇境触碰">图表!$B$55</definedName>
    <definedName name="奇械师">图表!$G$24:$G$30</definedName>
    <definedName name="奇械师注法">图表!$B$199</definedName>
    <definedName name="祈求者">图表!$B$181</definedName>
    <definedName name="骑乘战斗">图表!$B$51</definedName>
    <definedName name="契术师">图表!$H$24:$H$31</definedName>
    <definedName name="千锤百炼">图表!$B$201</definedName>
    <definedName name="乾坤一击">图表!$B$187</definedName>
    <definedName name="枪手">图表!$B$119</definedName>
    <definedName name="强健身心">图表!$B$97</definedName>
    <definedName name="强劲法术">图表!$B$265</definedName>
    <definedName name="强弩专家">图表!$B$116</definedName>
    <definedName name="青年龙">图表!$B$271</definedName>
    <definedName name="曲咒射术">图表!$B$260</definedName>
    <definedName name="人马骑兵">图表!$B$287</definedName>
    <definedName name="融汇百家">图表!$B$146</definedName>
    <definedName name="散兵战术">图表!$B$163</definedName>
    <definedName name="散人流登堂弟子">图表!$B$220</definedName>
    <definedName name="散人流及门弟子">图表!$B$219</definedName>
    <definedName name="散人流入室弟子">图表!$B$221</definedName>
    <definedName name="色彩龙赋礼">图表!$B$67</definedName>
    <definedName name="森林射手">图表!$B$117</definedName>
    <definedName name="擅长异种武器">图表!$B$105</definedName>
    <definedName name="哨兵">图表!$B$79</definedName>
    <definedName name="深陷毒沼">图表!$B$245</definedName>
    <definedName name="神官">图表!$B$158</definedName>
    <definedName name="神机流登堂弟子">图表!$B$217</definedName>
    <definedName name="神机流及门弟子">图表!$B$216</definedName>
    <definedName name="神机流入室弟子">图表!$B$218</definedName>
    <definedName name="神力追猎">图表!$B$170</definedName>
    <definedName name="神射手">图表!$B$115</definedName>
    <definedName name="神圣超魔法">图表!$B$156</definedName>
    <definedName name="神速力">图表!$B$185</definedName>
    <definedName name="神威">图表!$B$142</definedName>
    <definedName name="升环使用魔法装置">图表!$B$191</definedName>
    <definedName name="升阶幽影">图表!$B$133</definedName>
    <definedName name="圣斗士顽强">图表!$B$98</definedName>
    <definedName name="圣武士">图表!$B$24:$B$34</definedName>
    <definedName name="尸体工艺">图表!$B$248</definedName>
    <definedName name="施法旋律">图表!$B$159</definedName>
    <definedName name="适应性">图表!$B$100</definedName>
    <definedName name="守护龙纹">图表!$B$301</definedName>
    <definedName name="兽人式狂怒">图表!$B$283</definedName>
    <definedName name="熟习">图表!$B$101</definedName>
    <definedName name="术士">图表!$B$154</definedName>
    <definedName name="双刀借机">图表!$B$90</definedName>
    <definedName name="双武器超级战士">图表!$B$88</definedName>
    <definedName name="双武器低级战士">图表!$B$84</definedName>
    <definedName name="双武器高级战士">图表!$B$87</definedName>
    <definedName name="双武器中级战士">图表!$B$85</definedName>
    <definedName name="双重法术">图表!$B$251</definedName>
    <definedName name="双重眼波射线">图表!$B$275</definedName>
    <definedName name="私人星质构装体">图表!$B$136</definedName>
    <definedName name="探索龙纹">图表!$B$296</definedName>
    <definedName name="天界生物">图表!$J$2:$J$5</definedName>
    <definedName name="天界坐骑">图表!$B$168</definedName>
    <definedName name="天照">图表!$B$141</definedName>
    <definedName name="通行龙纹">图表!$B$300</definedName>
    <definedName name="团队防御">图表!$B$91</definedName>
    <definedName name="亡灵变身">图表!$B$150</definedName>
    <definedName name="危机管理">图表!$B$99</definedName>
    <definedName name="威力攻击">图表!$B$41</definedName>
    <definedName name="巫婆诅咒">图表!$B$259</definedName>
    <definedName name="巫师">图表!$B$43</definedName>
    <definedName name="巫师杀手">图表!$B$76</definedName>
    <definedName name="武器大师">图表!$B$104</definedName>
    <definedName name="武僧">图表!$D$24:$D$32</definedName>
    <definedName name="雾隐之力">图表!$B$39</definedName>
    <definedName name="戏法学者">图表!$B$178</definedName>
    <definedName name="系挂灵光">图表!$B$166</definedName>
    <definedName name="邪魔">图表!$K$2:$K$5</definedName>
    <definedName name="邪魔体质">图表!$B$282</definedName>
    <definedName name="心电感应">图表!$B$59</definedName>
    <definedName name="心灵学者">图表!$B$193</definedName>
    <definedName name="心眼">图表!$B$196</definedName>
    <definedName name="心中有剑">图表!$B$143</definedName>
    <definedName name="幸运">图表!$B$49</definedName>
    <definedName name="凶蛮打手">图表!$B$73</definedName>
    <definedName name="玄武">图表!$B$285</definedName>
    <definedName name="悬空法术">图表!$B$261</definedName>
    <definedName name="旋转飞掷">图表!$B$121</definedName>
    <definedName name="雪花战舞">图表!$B$162</definedName>
    <definedName name="演员">图表!$B$93</definedName>
    <definedName name="赝造灵光">图表!$B$252</definedName>
    <definedName name="野兽">图表!$R$2</definedName>
    <definedName name="医疗龙纹">图表!$B$294</definedName>
    <definedName name="仪式施法者">图表!$B$63</definedName>
    <definedName name="异怪">图表!$O$2:$O$5</definedName>
    <definedName name="异怪变身">图表!$B$149</definedName>
    <definedName name="异种龙纹">图表!$B$60</definedName>
    <definedName name="易筋洗髓">图表!$B$203</definedName>
    <definedName name="阴影龙纹">图表!$B$297</definedName>
    <definedName name="吟游诗人">图表!$I$24:$I$30</definedName>
    <definedName name="隐形法术">图表!$B$238</definedName>
    <definedName name="英魂之刃">图表!$B$108</definedName>
    <definedName name="盈余治疗">图表!$B$256</definedName>
    <definedName name="影界触碰">图表!$B$57</definedName>
    <definedName name="游荡者">图表!$F$24:$F$31</definedName>
    <definedName name="游龙流登堂弟子">图表!$B$205</definedName>
    <definedName name="游龙流及门弟子">图表!$B$204</definedName>
    <definedName name="游龙流入室弟子">图表!$B$206</definedName>
    <definedName name="游侠">图表!$C$24:$C$33</definedName>
    <definedName name="语言学家">图表!$B$46</definedName>
    <definedName name="元素">图表!$M$2:$M$4</definedName>
    <definedName name="元素导师">图表!$B$240</definedName>
    <definedName name="远程法术">图表!$B$239</definedName>
    <definedName name="月读">图表!$B$140</definedName>
    <definedName name="越障法术">图表!$B$258</definedName>
    <definedName name="运动员">图表!$B$131</definedName>
    <definedName name="暂效法术">图表!$B$263</definedName>
    <definedName name="增强星质构装体">图表!$B$135</definedName>
    <definedName name="增强召唤">图表!$B$247</definedName>
    <definedName name="摘星流登堂弟子">图表!$B$208</definedName>
    <definedName name="摘星流及门弟子">图表!$B$207</definedName>
    <definedName name="摘星流入室弟子">图表!$B$209</definedName>
    <definedName name="粘液复苏">图表!$B$304</definedName>
    <definedName name="战地施法者">图表!$B$74</definedName>
    <definedName name="战斗反射">图表!$B$75</definedName>
    <definedName name="战技借机">图表!$B$82</definedName>
    <definedName name="战士">图表!$B$42</definedName>
    <definedName name="长柄武器大师">图表!$B$114</definedName>
    <definedName name="长长法杖">图表!$B$120</definedName>
    <definedName name="招待龙纹">图表!$B$295</definedName>
    <definedName name="侦测龙纹">图表!$B$292</definedName>
    <definedName name="真气传脉">图表!$B$188</definedName>
    <definedName name="真实幻术">图表!$B$249</definedName>
    <definedName name="植物">图表!$L$2:$L$5</definedName>
    <definedName name="制造构装体">图表!$B$198</definedName>
    <definedName name="制造神器">图表!$B$200</definedName>
    <definedName name="中甲运用">图表!$B$126</definedName>
    <definedName name="忠诚武器折返">图表!$B$122</definedName>
    <definedName name="众雷之子">图表!$B$243</definedName>
    <definedName name="重击大师">图表!$B$71</definedName>
    <definedName name="重甲大师">图表!$B$128</definedName>
    <definedName name="重甲运用">图表!$B$127</definedName>
    <definedName name="重振精神">图表!$B$254</definedName>
    <definedName name="逐渐消失">图表!$B$280</definedName>
    <definedName name="专精法师">图表!$B$153</definedName>
    <definedName name="专精专注">图表!$B$40</definedName>
    <definedName name="专注旋律">图表!$B$160</definedName>
    <definedName name="自救者">图表!$B$144</definedName>
    <definedName name="自然施法">图表!$B$148</definedName>
    <definedName name="自我存档">图表!$B$139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14" l="1"/>
  <c r="G23" i="14"/>
  <c r="J22" i="14"/>
  <c r="G22" i="14"/>
  <c r="Q20" i="14"/>
  <c r="J20" i="14"/>
  <c r="Q18" i="14"/>
  <c r="G16" i="14"/>
  <c r="G15" i="14"/>
  <c r="J13" i="14"/>
  <c r="B11" i="14"/>
  <c r="R10" i="14"/>
  <c r="Q10" i="14"/>
  <c r="P10" i="14"/>
  <c r="D9" i="14"/>
  <c r="C9" i="14"/>
  <c r="B9" i="14"/>
  <c r="K7" i="14"/>
  <c r="G7" i="14"/>
  <c r="D7" i="14"/>
  <c r="C7" i="14"/>
  <c r="K6" i="14"/>
  <c r="G6" i="14"/>
  <c r="D6" i="14"/>
  <c r="C6" i="14"/>
  <c r="K5" i="14"/>
  <c r="G5" i="14"/>
  <c r="D5" i="14"/>
  <c r="C5" i="14"/>
  <c r="K4" i="14"/>
  <c r="G4" i="14"/>
  <c r="D4" i="14"/>
  <c r="C4" i="14"/>
  <c r="R3" i="14"/>
  <c r="Q3" i="14"/>
  <c r="P3" i="14"/>
  <c r="O3" i="14"/>
  <c r="K3" i="14"/>
  <c r="G3" i="14"/>
  <c r="D3" i="14"/>
  <c r="C3" i="14"/>
  <c r="I350" i="6"/>
  <c r="I349" i="6"/>
  <c r="I348" i="6"/>
  <c r="I347" i="6"/>
  <c r="I346" i="6"/>
  <c r="I345" i="6"/>
  <c r="I344" i="6"/>
  <c r="I343" i="6"/>
  <c r="G326" i="6"/>
  <c r="E326" i="6"/>
  <c r="G325" i="6"/>
  <c r="E325" i="6"/>
  <c r="G324" i="6"/>
  <c r="E324" i="6"/>
  <c r="G323" i="6"/>
  <c r="E323" i="6"/>
  <c r="G322" i="6"/>
  <c r="E322" i="6"/>
  <c r="G321" i="6"/>
  <c r="E321" i="6"/>
  <c r="G320" i="6"/>
  <c r="E320" i="6"/>
  <c r="G319" i="6"/>
  <c r="E319" i="6"/>
  <c r="G318" i="6"/>
  <c r="E318" i="6"/>
  <c r="G317" i="6"/>
  <c r="E317" i="6"/>
  <c r="G316" i="6"/>
  <c r="E316" i="6"/>
  <c r="G315" i="6"/>
  <c r="E315" i="6"/>
  <c r="G314" i="6"/>
  <c r="E314" i="6"/>
  <c r="G313" i="6"/>
  <c r="E313" i="6"/>
  <c r="G312" i="6"/>
  <c r="E312" i="6"/>
  <c r="G311" i="6"/>
  <c r="E311" i="6"/>
  <c r="G310" i="6"/>
  <c r="E310" i="6"/>
  <c r="G309" i="6"/>
  <c r="E309" i="6"/>
  <c r="G308" i="6"/>
  <c r="E308" i="6"/>
  <c r="G307" i="6"/>
  <c r="E307" i="6"/>
  <c r="G306" i="6"/>
  <c r="E306" i="6"/>
  <c r="T73" i="6"/>
  <c r="B17" i="6"/>
  <c r="B16" i="6"/>
  <c r="B19" i="6"/>
  <c r="M4" i="8"/>
  <c r="B18" i="6"/>
  <c r="E9" i="8"/>
  <c r="B21" i="6"/>
  <c r="E5" i="8"/>
  <c r="X2" i="11"/>
  <c r="V4" i="8"/>
  <c r="Y28" i="8"/>
  <c r="M2" i="11"/>
  <c r="E2" i="11"/>
  <c r="BA12" i="10"/>
  <c r="AS12" i="10"/>
  <c r="BA11" i="10"/>
  <c r="AS11" i="10"/>
  <c r="BA10" i="10"/>
  <c r="AS10" i="10"/>
  <c r="BA9" i="10"/>
  <c r="AS9" i="10"/>
  <c r="BA8" i="10"/>
  <c r="AS8" i="10"/>
  <c r="BA7" i="10"/>
  <c r="AS7" i="10"/>
  <c r="BA6" i="10"/>
  <c r="AS6" i="10"/>
  <c r="BA5" i="10"/>
  <c r="AS5" i="10"/>
  <c r="BA4" i="10"/>
  <c r="AS4" i="10"/>
  <c r="E13" i="8"/>
  <c r="Y25" i="8"/>
  <c r="N3" i="10"/>
  <c r="E3" i="10"/>
  <c r="Y27" i="8"/>
  <c r="N2" i="10"/>
  <c r="E2" i="10"/>
  <c r="S5" i="13"/>
  <c r="CB5" i="13"/>
  <c r="S6" i="13"/>
  <c r="CB6" i="13"/>
  <c r="AI28" i="13"/>
  <c r="AW5" i="13"/>
  <c r="CC5" i="13"/>
  <c r="AI27" i="13"/>
  <c r="AI30" i="13"/>
  <c r="G28" i="13"/>
  <c r="G30" i="13"/>
  <c r="AG5" i="13"/>
  <c r="AZ28" i="13"/>
  <c r="CC25" i="13"/>
  <c r="CB25" i="13"/>
  <c r="AW25" i="13"/>
  <c r="AG25" i="13"/>
  <c r="S25" i="13"/>
  <c r="CC24" i="13"/>
  <c r="CB24" i="13"/>
  <c r="AW24" i="13"/>
  <c r="AG24" i="13"/>
  <c r="S24" i="13"/>
  <c r="CC23" i="13"/>
  <c r="CB23" i="13"/>
  <c r="AW23" i="13"/>
  <c r="AG23" i="13"/>
  <c r="S23" i="13"/>
  <c r="CC22" i="13"/>
  <c r="CB22" i="13"/>
  <c r="AW22" i="13"/>
  <c r="AG22" i="13"/>
  <c r="S22" i="13"/>
  <c r="CC21" i="13"/>
  <c r="CB21" i="13"/>
  <c r="AW21" i="13"/>
  <c r="AG21" i="13"/>
  <c r="S21" i="13"/>
  <c r="CC20" i="13"/>
  <c r="CB20" i="13"/>
  <c r="AW20" i="13"/>
  <c r="AG20" i="13"/>
  <c r="S20" i="13"/>
  <c r="CC19" i="13"/>
  <c r="CB19" i="13"/>
  <c r="AW19" i="13"/>
  <c r="AG19" i="13"/>
  <c r="S19" i="13"/>
  <c r="CC18" i="13"/>
  <c r="CB18" i="13"/>
  <c r="AW18" i="13"/>
  <c r="AG18" i="13"/>
  <c r="S18" i="13"/>
  <c r="CC17" i="13"/>
  <c r="CB17" i="13"/>
  <c r="AW17" i="13"/>
  <c r="AG17" i="13"/>
  <c r="S17" i="13"/>
  <c r="CC16" i="13"/>
  <c r="CB16" i="13"/>
  <c r="AW16" i="13"/>
  <c r="AG16" i="13"/>
  <c r="S16" i="13"/>
  <c r="CC15" i="13"/>
  <c r="CB15" i="13"/>
  <c r="AW15" i="13"/>
  <c r="AG15" i="13"/>
  <c r="S15" i="13"/>
  <c r="CC14" i="13"/>
  <c r="CB14" i="13"/>
  <c r="AW14" i="13"/>
  <c r="AG14" i="13"/>
  <c r="S14" i="13"/>
  <c r="CC13" i="13"/>
  <c r="CB13" i="13"/>
  <c r="AW13" i="13"/>
  <c r="AG13" i="13"/>
  <c r="S13" i="13"/>
  <c r="CC12" i="13"/>
  <c r="CB12" i="13"/>
  <c r="AW12" i="13"/>
  <c r="AG12" i="13"/>
  <c r="S12" i="13"/>
  <c r="CC11" i="13"/>
  <c r="CB11" i="13"/>
  <c r="AW11" i="13"/>
  <c r="AG11" i="13"/>
  <c r="S11" i="13"/>
  <c r="CC10" i="13"/>
  <c r="CB10" i="13"/>
  <c r="AW10" i="13"/>
  <c r="AG10" i="13"/>
  <c r="S10" i="13"/>
  <c r="CC9" i="13"/>
  <c r="CB9" i="13"/>
  <c r="AW9" i="13"/>
  <c r="AG9" i="13"/>
  <c r="S9" i="13"/>
  <c r="CC8" i="13"/>
  <c r="CB8" i="13"/>
  <c r="AW8" i="13"/>
  <c r="AG8" i="13"/>
  <c r="S8" i="13"/>
  <c r="CC7" i="13"/>
  <c r="CB7" i="13"/>
  <c r="AW7" i="13"/>
  <c r="AG7" i="13"/>
  <c r="S7" i="13"/>
  <c r="CC6" i="13"/>
  <c r="AW6" i="13"/>
  <c r="AG6" i="13"/>
  <c r="AM80" i="9"/>
  <c r="L80" i="9"/>
  <c r="AM54" i="9"/>
  <c r="L54" i="9"/>
  <c r="AM28" i="9"/>
  <c r="L28" i="9"/>
  <c r="AM2" i="9"/>
  <c r="L2" i="9"/>
  <c r="F39" i="8"/>
  <c r="F38" i="8"/>
  <c r="F37" i="8"/>
  <c r="F36" i="8"/>
  <c r="F35" i="8"/>
  <c r="F34" i="8"/>
  <c r="F33" i="8"/>
  <c r="E11" i="8"/>
  <c r="F31" i="8"/>
  <c r="M30" i="8"/>
  <c r="V30" i="8"/>
  <c r="F30" i="8"/>
  <c r="F29" i="8"/>
  <c r="F28" i="8"/>
  <c r="F27" i="8"/>
  <c r="F26" i="8"/>
  <c r="F25" i="8"/>
  <c r="E7" i="8"/>
  <c r="Y24" i="8"/>
  <c r="Y23" i="8"/>
  <c r="F23" i="8"/>
  <c r="F22" i="8"/>
  <c r="Q21" i="8"/>
  <c r="F21" i="8"/>
  <c r="Q20" i="8"/>
  <c r="Y20" i="8"/>
  <c r="F19" i="8"/>
  <c r="Q18" i="8"/>
  <c r="F18" i="8"/>
  <c r="R14" i="8"/>
  <c r="H13" i="8"/>
  <c r="R12" i="8"/>
  <c r="H11" i="8"/>
  <c r="H9" i="8"/>
  <c r="H7" i="8"/>
  <c r="H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R10" authorId="0" shapeId="0" xr:uid="{00000000-0006-0000-0000-000001000000}">
      <text>
        <r>
          <rPr>
            <sz val="9"/>
            <rFont val="宋体"/>
            <charset val="134"/>
          </rPr>
          <t>可以从背景中获得2项技能熟练。</t>
        </r>
      </text>
    </comment>
    <comment ref="R11" authorId="0" shapeId="0" xr:uid="{00000000-0006-0000-0000-000002000000}">
      <text>
        <r>
          <rPr>
            <sz val="9"/>
            <rFont val="宋体"/>
            <charset val="134"/>
          </rPr>
          <t>可以从背景中获得1门语言（秘密语言除外）</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Y4" authorId="0" shapeId="0" xr:uid="{00000000-0006-0000-0100-000001000000}">
      <text>
        <r>
          <rPr>
            <sz val="9"/>
            <rFont val="宋体"/>
            <charset val="134"/>
          </rPr>
          <t>少数方法可以改变熟练加值，例如“艾恩石·精通”。此时填写熟练加值修正。</t>
        </r>
      </text>
    </comment>
    <comment ref="AD4" authorId="0" shapeId="0" xr:uid="{00000000-0006-0000-0100-000002000000}">
      <text>
        <r>
          <rPr>
            <sz val="9"/>
            <rFont val="宋体"/>
            <charset val="134"/>
          </rPr>
          <t>自行修改特性栏的名称，并填写对应效果。</t>
        </r>
      </text>
    </comment>
    <comment ref="AZ4" authorId="0" shapeId="0" xr:uid="{00000000-0006-0000-0100-000003000000}">
      <text>
        <r>
          <rPr>
            <sz val="9"/>
            <rFont val="宋体"/>
            <charset val="134"/>
          </rPr>
          <t>自行把关键的续航资源、消耗资源记录。并填写当前次数和最大次数。</t>
        </r>
      </text>
    </comment>
    <comment ref="A16" authorId="0" shapeId="0" xr:uid="{00000000-0006-0000-0100-000004000000}">
      <text>
        <r>
          <rPr>
            <sz val="9"/>
            <rFont val="宋体"/>
            <charset val="134"/>
          </rPr>
          <t>不要忘记，智力每比10点高4点，即可获得一个额外的技能熟练。</t>
        </r>
      </text>
    </comment>
    <comment ref="AU17" authorId="0" shapeId="0" xr:uid="{00000000-0006-0000-0100-000005000000}">
      <text>
        <r>
          <rPr>
            <sz val="9"/>
            <rFont val="宋体"/>
            <charset val="134"/>
          </rPr>
          <t>例如“强健身心”等专长，有多种不同的效果可选。请在可选项说明一栏注明你的选择。</t>
        </r>
      </text>
    </comment>
    <comment ref="M29" authorId="0" shapeId="0" xr:uid="{00000000-0006-0000-0100-000006000000}">
      <text>
        <r>
          <rPr>
            <sz val="9"/>
            <rFont val="宋体"/>
            <charset val="134"/>
          </rPr>
          <t>每点力量调整值，会让速度改变5尺。</t>
        </r>
      </text>
    </comment>
    <comment ref="AD35" authorId="0" shapeId="0" xr:uid="{00000000-0006-0000-0100-000007000000}">
      <text>
        <r>
          <rPr>
            <sz val="9"/>
            <rFont val="宋体"/>
            <charset val="134"/>
          </rPr>
          <t>自行修改灰色方格中的情况说明。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X4" authorId="0" shapeId="0" xr:uid="{00000000-0006-0000-0300-000001000000}">
      <text>
        <r>
          <rPr>
            <sz val="9"/>
            <rFont val="宋体"/>
            <charset val="134"/>
          </rPr>
          <t>数量不填，默认为1件。并且会按照1件来计算价格。</t>
        </r>
      </text>
    </comment>
    <comment ref="BB4" authorId="0" shapeId="0" xr:uid="{00000000-0006-0000-0300-000002000000}">
      <text>
        <r>
          <rPr>
            <sz val="9"/>
            <rFont val="宋体"/>
            <charset val="134"/>
          </rPr>
          <t>数量不填，默认为1件。并且会按照1件来计算价格。</t>
        </r>
      </text>
    </comment>
    <comment ref="AC29" authorId="0" shapeId="0" xr:uid="{00000000-0006-0000-0300-000003000000}">
      <text>
        <r>
          <rPr>
            <sz val="9"/>
            <rFont val="宋体"/>
            <charset val="134"/>
          </rPr>
          <t xml:space="preserve">标准资金：
1级100，2级200，3级500，4级800，5级1500，6级2800，7级4000，8级5600，9级7500，10级10000，11级18000，12级24000，13级32000，14级42000，15级54000，16级68000，17级110000，18级130000，19级150000，20级180000。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L4" authorId="0" shapeId="0" xr:uid="{00000000-0006-0000-0400-000001000000}">
      <text>
        <r>
          <rPr>
            <sz val="9"/>
            <rFont val="宋体"/>
            <charset val="134"/>
          </rPr>
          <t>如果法术来源不是职业的施法、契约魔法，可以注明其来源。</t>
        </r>
      </text>
    </comment>
  </commentList>
</comments>
</file>

<file path=xl/sharedStrings.xml><?xml version="1.0" encoding="utf-8"?>
<sst xmlns="http://schemas.openxmlformats.org/spreadsheetml/2006/main" count="4073" uniqueCount="2890">
  <si>
    <t>角色</t>
  </si>
  <si>
    <t>浅绿色方格，为公式自动计算。浅蓝色方格，为下拉框式选择。白色方格，必须自行填写。灰色方格，可以自行修改其中的描述名称，也可以不改。</t>
  </si>
  <si>
    <t>角色名</t>
  </si>
  <si>
    <t>背景</t>
  </si>
  <si>
    <t>玩家名</t>
  </si>
  <si>
    <t>阵营</t>
  </si>
  <si>
    <t>信仰</t>
  </si>
  <si>
    <t>生物类型</t>
  </si>
  <si>
    <t>不死生物</t>
  </si>
  <si>
    <t>体型</t>
  </si>
  <si>
    <t>巨型</t>
  </si>
  <si>
    <t>特点</t>
  </si>
  <si>
    <t>种族</t>
  </si>
  <si>
    <t>修罗</t>
  </si>
  <si>
    <t>性别</t>
  </si>
  <si>
    <t>理想</t>
  </si>
  <si>
    <t>亚种</t>
  </si>
  <si>
    <t>年龄</t>
  </si>
  <si>
    <t>牵绊</t>
  </si>
  <si>
    <t>缺点</t>
  </si>
  <si>
    <t>角色外貌描述</t>
  </si>
  <si>
    <t>技能熟练项</t>
  </si>
  <si>
    <t>语言</t>
  </si>
  <si>
    <t>故事</t>
  </si>
  <si>
    <t>角色形象图片</t>
  </si>
  <si>
    <t>主要情况</t>
  </si>
  <si>
    <t>属性</t>
  </si>
  <si>
    <t>职业</t>
  </si>
  <si>
    <t>资源消耗记录</t>
  </si>
  <si>
    <t>属性值</t>
  </si>
  <si>
    <t>调整值</t>
  </si>
  <si>
    <t>豁免熟练</t>
  </si>
  <si>
    <t>豁免修正</t>
  </si>
  <si>
    <t>豁免总值</t>
  </si>
  <si>
    <t>总等级</t>
  </si>
  <si>
    <t>熟练
加值</t>
  </si>
  <si>
    <t>修正</t>
  </si>
  <si>
    <t>特性</t>
  </si>
  <si>
    <t>效果</t>
  </si>
  <si>
    <t>名称</t>
  </si>
  <si>
    <t>当前值</t>
  </si>
  <si>
    <t>最大值</t>
  </si>
  <si>
    <t>恢复</t>
  </si>
  <si>
    <t>力量</t>
  </si>
  <si>
    <t>无</t>
  </si>
  <si>
    <t>/</t>
  </si>
  <si>
    <t>职业与兼职</t>
  </si>
  <si>
    <t>子职业</t>
  </si>
  <si>
    <t>等级</t>
  </si>
  <si>
    <t>属性值提升</t>
  </si>
  <si>
    <t>敏捷</t>
  </si>
  <si>
    <t>初始职业</t>
  </si>
  <si>
    <t>德鲁伊</t>
  </si>
  <si>
    <t>魔射手</t>
  </si>
  <si>
    <t>兼职一</t>
  </si>
  <si>
    <t>洞察修会</t>
  </si>
  <si>
    <t>体质</t>
  </si>
  <si>
    <t>兼职二</t>
  </si>
  <si>
    <t>吟游诗人</t>
  </si>
  <si>
    <t>低语学院</t>
  </si>
  <si>
    <t>兼职三</t>
  </si>
  <si>
    <t>圣武士</t>
  </si>
  <si>
    <t>古贤之誓</t>
  </si>
  <si>
    <t>三愿戒指</t>
  </si>
  <si>
    <t>智力</t>
  </si>
  <si>
    <t>生命上限修正</t>
  </si>
  <si>
    <t>生命值</t>
  </si>
  <si>
    <t>感知</t>
  </si>
  <si>
    <t>临时生命值</t>
  </si>
  <si>
    <t>生命骰数量</t>
  </si>
  <si>
    <t>技能</t>
  </si>
  <si>
    <t>战斗数据</t>
  </si>
  <si>
    <t>专长</t>
  </si>
  <si>
    <t>状态记录</t>
  </si>
  <si>
    <t>力量系</t>
  </si>
  <si>
    <t>技能熟练</t>
  </si>
  <si>
    <t>技能修正</t>
  </si>
  <si>
    <t>技能总值</t>
  </si>
  <si>
    <t>先攻熟练</t>
  </si>
  <si>
    <t>先攻修正</t>
  </si>
  <si>
    <t>先攻总值</t>
  </si>
  <si>
    <t>可选项说明</t>
  </si>
  <si>
    <t>在此记录你具有的增益效果、不利影响。</t>
  </si>
  <si>
    <t>运动</t>
  </si>
  <si>
    <t>先攻</t>
  </si>
  <si>
    <t>多样眼波射线</t>
  </si>
  <si>
    <t>先决条件：眼魔，只能在6级时选择
你能够创造出更多、更强、更可怖的眼波射线。对一个生物使用眼波射线时，不再骰d6决定眼波效果，而是骰d10。
多样眼波射线的效果
D10
眼波种类
效果
1~6
见上表
见上表
7
睡眠眼波
目标进行一次感知豁免，豁免失败则在1分钟内陷入睡眠。
8
石化眼波
目标进行一次敏捷豁免，豁免失败则被束缚。被束缚的目标的下个回合结束时，需要再进行一次豁免，豁免失败则被石化，豁免成功则终止束缚。
9
解离眼波
目标进行一次敏捷豁免，豁免失败则受到2d6×你的熟练加值的力场伤害。如果此时目标的当前生命值为0，则其身体将化为一团灰烬。
10
致死眼波
目标进行一次敏捷豁免，豁免失败则受到2d8×你的熟练加值的暗蚀伤害。如果此时目标的当前生命值为0，则其死亡。</t>
  </si>
  <si>
    <t>威吓</t>
  </si>
  <si>
    <t>防具</t>
  </si>
  <si>
    <t>防具类型</t>
  </si>
  <si>
    <t>装备加值</t>
  </si>
  <si>
    <t>AC值</t>
  </si>
  <si>
    <t>其它修正</t>
  </si>
  <si>
    <t>AC总值</t>
  </si>
  <si>
    <t>人马骑兵</t>
  </si>
  <si>
    <t>敏捷系</t>
  </si>
  <si>
    <t>盔甲</t>
  </si>
  <si>
    <t>威力攻击</t>
  </si>
  <si>
    <t>发动一次攻击检定之前，你可以让该次攻击检定承受-5减值。若命中，该次攻击的伤害掷骰获得等同于其基础伤害骰最大值的加值。举例来说，巨剑和灼热射线（2d6）额外造成12点伤害，长弓和11级武僧的徒手打击（1d8）额外造成8点伤害，魔能爆（1d10）额外造成10点伤害，长柄武器大师的附赠攻击和匕首（1d4）额外造成4点伤害。
焰舌、神圣武器、脆弱诅咒、精通至圣斩、超魔、战技、重击、偷袭等可能产生额外伤害骰的各种效果，都对威力攻击没有影响。</t>
  </si>
  <si>
    <t>体操</t>
  </si>
  <si>
    <t>盾牌</t>
  </si>
  <si>
    <t>精金躯体</t>
  </si>
  <si>
    <t>巧手</t>
  </si>
  <si>
    <t>攻击</t>
  </si>
  <si>
    <t>攻击类型</t>
  </si>
  <si>
    <t>关联属性</t>
  </si>
  <si>
    <t>命中总值</t>
  </si>
  <si>
    <t>穿刺者</t>
  </si>
  <si>
    <t>隐匿</t>
  </si>
  <si>
    <t>主武器</t>
  </si>
  <si>
    <t>法术分裂</t>
  </si>
  <si>
    <t>智力系</t>
  </si>
  <si>
    <t>副武器</t>
  </si>
  <si>
    <t>强健身心</t>
  </si>
  <si>
    <t>选择一或两种属性，并获得下列增益：
·获得所选属性的豁免熟练项。
·如果你仅选择了一种属性，则该属性+1，不能超过24。
你可以多次选择该专长，每次选择之前未选择过的属性。</t>
  </si>
  <si>
    <t>奥秘</t>
  </si>
  <si>
    <t>法术攻击</t>
  </si>
  <si>
    <t>奇境触碰</t>
  </si>
  <si>
    <t>暴露在童话世界的魔法之下的经历已经改变了你，使你获得以下增益：
·你的体型增大一级或减小一级，由你在获得该专长时选择。
·（仅限增大）你的生命上限增加等同于角色等级的数值。
·（仅限减小）你的AC和敏捷豁免获得+1加值，你使用远程武器或带灵巧属性的武器进行攻击时的攻击检定和伤害掷骰获得+1加值。</t>
  </si>
  <si>
    <t>灵能</t>
  </si>
  <si>
    <t>豁免</t>
  </si>
  <si>
    <t>豁免来源</t>
  </si>
  <si>
    <t>豁免DC</t>
  </si>
  <si>
    <t>宗教</t>
  </si>
  <si>
    <t>法术</t>
  </si>
  <si>
    <t>历史</t>
  </si>
  <si>
    <t>非法术</t>
  </si>
  <si>
    <t>战技</t>
  </si>
  <si>
    <t>自然</t>
  </si>
  <si>
    <t>速度</t>
  </si>
  <si>
    <t>种族基本速度</t>
  </si>
  <si>
    <t>力量加成</t>
  </si>
  <si>
    <t>最终速度</t>
  </si>
  <si>
    <t>装备熟练项</t>
  </si>
  <si>
    <t>调查</t>
  </si>
  <si>
    <t>步行速度</t>
  </si>
  <si>
    <t>尺</t>
  </si>
  <si>
    <t>非异种武器</t>
  </si>
  <si>
    <t>表演</t>
  </si>
  <si>
    <t>其它速度</t>
  </si>
  <si>
    <t>飞行，游泳，攀爬，掘地</t>
  </si>
  <si>
    <t>异种武器</t>
  </si>
  <si>
    <t>感知系</t>
  </si>
  <si>
    <t>伤害抵抗</t>
  </si>
  <si>
    <t>察觉</t>
  </si>
  <si>
    <t>伤害抗性</t>
  </si>
  <si>
    <t>配件</t>
  </si>
  <si>
    <t>洞悉</t>
  </si>
  <si>
    <t>伤害免疫</t>
  </si>
  <si>
    <t>医药</t>
  </si>
  <si>
    <t>伤害吸收</t>
  </si>
  <si>
    <t>常用掷骰指令</t>
  </si>
  <si>
    <t>生存</t>
  </si>
  <si>
    <t>伤害易伤</t>
  </si>
  <si>
    <t>巨剑伤害</t>
  </si>
  <si>
    <t>驯兽</t>
  </si>
  <si>
    <t>状态抵抗</t>
  </si>
  <si>
    <t>游说</t>
  </si>
  <si>
    <t>豁免优势</t>
  </si>
  <si>
    <t>火球术</t>
  </si>
  <si>
    <t>欺瞒</t>
  </si>
  <si>
    <t>状态免疫</t>
  </si>
  <si>
    <t>专注豁免</t>
  </si>
  <si>
    <t>职业特性</t>
  </si>
  <si>
    <t>职业特色选项</t>
  </si>
  <si>
    <t>魔能祈唤</t>
  </si>
  <si>
    <t>施法</t>
  </si>
  <si>
    <t>制造物品</t>
  </si>
  <si>
    <t>法术风格</t>
  </si>
  <si>
    <t>战斗风格</t>
  </si>
  <si>
    <t>装备</t>
  </si>
  <si>
    <t>非魔法物品</t>
  </si>
  <si>
    <t>魔法物品</t>
  </si>
  <si>
    <t>特殊</t>
  </si>
  <si>
    <t>描述</t>
  </si>
  <si>
    <t>单价</t>
  </si>
  <si>
    <t>数量</t>
  </si>
  <si>
    <t>同调</t>
  </si>
  <si>
    <t>硬头锤（轻锤）</t>
  </si>
  <si>
    <t>银（近战）</t>
  </si>
  <si>
    <t>gp×</t>
  </si>
  <si>
    <t>公羊戒指</t>
  </si>
  <si>
    <t>这枚戒指有3发充能，且每天黎明时恢复1d3发已消耗的充能。着装这枚戒指时，你可以用一个动作并消耗1到3发充能以攻击你周围60尺内一名你能看见的生物。戒指产生一个山羊头的幻影冲向目标，这是一次远程法术攻击，其攻击加值为+7。如果攻击命中，每消耗1发充能，目标就受到2d10点力场伤害并被向远离你的方向推开5尺。此外，你还可以用一个动作并消耗1到3发充能以破坏周围60尺内一件你能看到，且未被着装或携带的物件。每消耗1发充能，戒指就在力量检定时获得一个+5加值。</t>
  </si>
  <si>
    <t>匕首（短刀、叉子）</t>
  </si>
  <si>
    <t>1d4穿刺；灵巧，轻型，投掷（射程20/60）</t>
  </si>
  <si>
    <t>负重</t>
  </si>
  <si>
    <t>购物</t>
  </si>
  <si>
    <t>有力体型</t>
  </si>
  <si>
    <t>无有力体型</t>
  </si>
  <si>
    <t>魔法物品总开销</t>
  </si>
  <si>
    <t>gp</t>
  </si>
  <si>
    <t>负重能力</t>
  </si>
  <si>
    <t>磅</t>
  </si>
  <si>
    <t>非魔法物品总开销</t>
  </si>
  <si>
    <t>同调总数</t>
  </si>
  <si>
    <t>件</t>
  </si>
  <si>
    <t>装备总重</t>
  </si>
  <si>
    <t>初始资金</t>
  </si>
  <si>
    <t>是否超载</t>
  </si>
  <si>
    <t>剩余资金</t>
  </si>
  <si>
    <t>法术豁免DC</t>
  </si>
  <si>
    <t>可用环法数量</t>
  </si>
  <si>
    <t>准备法术</t>
  </si>
  <si>
    <t>个</t>
  </si>
  <si>
    <t>施法者等级</t>
  </si>
  <si>
    <t>级</t>
  </si>
  <si>
    <t>环阶</t>
  </si>
  <si>
    <t>施法者法术位</t>
  </si>
  <si>
    <t>契约魔法</t>
  </si>
  <si>
    <t>法术类型</t>
  </si>
  <si>
    <t>法术攻击加值</t>
  </si>
  <si>
    <t>已知戏法</t>
  </si>
  <si>
    <t>契术师等级</t>
  </si>
  <si>
    <t>∞</t>
  </si>
  <si>
    <t>法术详述</t>
  </si>
  <si>
    <t>来源</t>
  </si>
  <si>
    <t>术法点</t>
  </si>
  <si>
    <t>点</t>
  </si>
  <si>
    <t>准备战技</t>
  </si>
  <si>
    <t>流派</t>
  </si>
  <si>
    <t>摘星流</t>
  </si>
  <si>
    <t>级别</t>
  </si>
  <si>
    <t>战技详述</t>
  </si>
  <si>
    <t>卓越骰数量</t>
  </si>
  <si>
    <t>枚</t>
  </si>
  <si>
    <t>卓越骰大小</t>
  </si>
  <si>
    <t>d4</t>
  </si>
  <si>
    <t>怪物资料</t>
  </si>
  <si>
    <t>参考怪物资料</t>
  </si>
  <si>
    <t>最终怪物资料</t>
  </si>
  <si>
    <t>将《怪物图鉴》上的怪物初始数据填写在这里</t>
  </si>
  <si>
    <t>将经过部署强化、购买装备、变形结合等方法修改之后的，部署数据或变形数据，写在这里。</t>
  </si>
  <si>
    <t>部署或变形</t>
  </si>
  <si>
    <t>常驻变形</t>
  </si>
  <si>
    <t>获取方法</t>
  </si>
  <si>
    <t>完全变形术</t>
  </si>
  <si>
    <t>期望生命</t>
  </si>
  <si>
    <t>首级额外生命</t>
  </si>
  <si>
    <t>类人生物</t>
  </si>
  <si>
    <t>巨人</t>
  </si>
  <si>
    <t>精类</t>
  </si>
  <si>
    <t>构装生物</t>
  </si>
  <si>
    <t>天界生物</t>
  </si>
  <si>
    <t>邪魔</t>
  </si>
  <si>
    <t>植物</t>
  </si>
  <si>
    <t>元素</t>
  </si>
  <si>
    <t>泥怪</t>
  </si>
  <si>
    <t>异怪</t>
  </si>
  <si>
    <t>龙</t>
  </si>
  <si>
    <t>怪兽</t>
  </si>
  <si>
    <t>野兽</t>
  </si>
  <si>
    <t>花费点数</t>
  </si>
  <si>
    <t>狂战士</t>
  </si>
  <si>
    <t>定制血统</t>
  </si>
  <si>
    <t>人类</t>
  </si>
  <si>
    <t>歌利亚</t>
  </si>
  <si>
    <t>仙灵</t>
  </si>
  <si>
    <t>机关人</t>
  </si>
  <si>
    <t>剪影</t>
  </si>
  <si>
    <t>阿斯莫</t>
  </si>
  <si>
    <t>提夫林</t>
  </si>
  <si>
    <t>古树</t>
  </si>
  <si>
    <t>元素裔</t>
  </si>
  <si>
    <t>流浆体</t>
  </si>
  <si>
    <t>呋噜</t>
  </si>
  <si>
    <t>狗头人</t>
  </si>
  <si>
    <t>人马</t>
  </si>
  <si>
    <t>游侠</t>
  </si>
  <si>
    <t>精灵</t>
  </si>
  <si>
    <t>独眼巨人</t>
  </si>
  <si>
    <t>兔人</t>
  </si>
  <si>
    <t>仿生人</t>
  </si>
  <si>
    <t>半梦灵</t>
  </si>
  <si>
    <t>地狱之子</t>
  </si>
  <si>
    <t>蕈人</t>
  </si>
  <si>
    <t>小巨灵</t>
  </si>
  <si>
    <t>生化之雪</t>
  </si>
  <si>
    <t>眼魔</t>
  </si>
  <si>
    <t>真龙</t>
  </si>
  <si>
    <t>原体蛇人</t>
  </si>
  <si>
    <t>武僧</t>
  </si>
  <si>
    <t>矮人</t>
  </si>
  <si>
    <t>半羊人</t>
  </si>
  <si>
    <t>稻草人</t>
  </si>
  <si>
    <t>血族</t>
  </si>
  <si>
    <t>福瑞天族</t>
  </si>
  <si>
    <t>欲魔</t>
  </si>
  <si>
    <t>阿娜温</t>
  </si>
  <si>
    <t>厄兰</t>
  </si>
  <si>
    <t>牛头人</t>
  </si>
  <si>
    <t>灵能武士</t>
  </si>
  <si>
    <t>侏儒</t>
  </si>
  <si>
    <t>天狗</t>
  </si>
  <si>
    <t>自动侏儒</t>
  </si>
  <si>
    <t>重生者</t>
  </si>
  <si>
    <t>狮人</t>
  </si>
  <si>
    <t>游荡者</t>
  </si>
  <si>
    <t>半身人</t>
  </si>
  <si>
    <t>幻身灵</t>
  </si>
  <si>
    <t>螳螂人</t>
  </si>
  <si>
    <t>奇械师</t>
  </si>
  <si>
    <t>兽人</t>
  </si>
  <si>
    <t>狐妖</t>
  </si>
  <si>
    <t>象人</t>
  </si>
  <si>
    <t>契术师</t>
  </si>
  <si>
    <t>化兽者</t>
  </si>
  <si>
    <t>巫咒之子</t>
  </si>
  <si>
    <t>鼯猴人</t>
  </si>
  <si>
    <t>吉斯人</t>
  </si>
  <si>
    <t>牧师</t>
  </si>
  <si>
    <t>地精</t>
  </si>
  <si>
    <t>猫人</t>
  </si>
  <si>
    <t>灵能师</t>
  </si>
  <si>
    <t>维多肯</t>
  </si>
  <si>
    <t>法师</t>
  </si>
  <si>
    <t>蜥蜴人</t>
  </si>
  <si>
    <t>龟人</t>
  </si>
  <si>
    <t>初始职业生命值</t>
  </si>
  <si>
    <t>鹰人</t>
  </si>
  <si>
    <t>兼职一生命值</t>
  </si>
  <si>
    <t>鱼人</t>
  </si>
  <si>
    <t>兼职二生命值</t>
  </si>
  <si>
    <t>兼职三生命值</t>
  </si>
  <si>
    <t>总生命值</t>
  </si>
  <si>
    <t>狂战士子职业</t>
  </si>
  <si>
    <t>圣武士子职业</t>
  </si>
  <si>
    <t>游侠子职业</t>
  </si>
  <si>
    <t>武僧子职业</t>
  </si>
  <si>
    <t>灵能武士子职业</t>
  </si>
  <si>
    <t>游荡者子职业</t>
  </si>
  <si>
    <t>奇械师子职业</t>
  </si>
  <si>
    <t>契术师子职业</t>
  </si>
  <si>
    <t>吟游诗人子职业</t>
  </si>
  <si>
    <t>牧师子职业</t>
  </si>
  <si>
    <t>德鲁伊子职业</t>
  </si>
  <si>
    <t>灵能师子职业</t>
  </si>
  <si>
    <t>法师子职业</t>
  </si>
  <si>
    <t>图腾武者</t>
  </si>
  <si>
    <t>奉献之誓</t>
  </si>
  <si>
    <t>狩魔猎人</t>
  </si>
  <si>
    <t>散打宗</t>
  </si>
  <si>
    <t>风物行者</t>
  </si>
  <si>
    <t>刺客</t>
  </si>
  <si>
    <t>构造铁匠</t>
  </si>
  <si>
    <t>轶闻学院</t>
  </si>
  <si>
    <t>生命领域</t>
  </si>
  <si>
    <t>大地结社</t>
  </si>
  <si>
    <t>创形修会</t>
  </si>
  <si>
    <t>防护学派</t>
  </si>
  <si>
    <t>先祖守卫</t>
  </si>
  <si>
    <t>暗影宗</t>
  </si>
  <si>
    <t>回音骑士</t>
  </si>
  <si>
    <t>斥候</t>
  </si>
  <si>
    <t>魔炮专家</t>
  </si>
  <si>
    <t>至高妖精</t>
  </si>
  <si>
    <t>偶像学院</t>
  </si>
  <si>
    <t>死亡领域</t>
  </si>
  <si>
    <t>月亮结社</t>
  </si>
  <si>
    <t>惑心修会</t>
  </si>
  <si>
    <t>变化学派</t>
  </si>
  <si>
    <t>狂热者</t>
  </si>
  <si>
    <t>复仇之誓</t>
  </si>
  <si>
    <t>兽王</t>
  </si>
  <si>
    <t>四象宗</t>
  </si>
  <si>
    <t>守卫铁卫</t>
  </si>
  <si>
    <t>诡术师</t>
  </si>
  <si>
    <t>装甲师</t>
  </si>
  <si>
    <t>旧日支配者</t>
  </si>
  <si>
    <t>勇气学院</t>
  </si>
  <si>
    <t>和平领域</t>
  </si>
  <si>
    <t>星辰结社</t>
  </si>
  <si>
    <t>旅行修会</t>
  </si>
  <si>
    <t>咒法学派</t>
  </si>
  <si>
    <t>救赎之誓</t>
  </si>
  <si>
    <t>龙兽守卫</t>
  </si>
  <si>
    <t>日魂宗</t>
  </si>
  <si>
    <t>原力大师</t>
  </si>
  <si>
    <t>策士</t>
  </si>
  <si>
    <t>炼金师</t>
  </si>
  <si>
    <t>咒剑</t>
  </si>
  <si>
    <t>剑舞学院</t>
  </si>
  <si>
    <t>战争领域</t>
  </si>
  <si>
    <t>牧人结社</t>
  </si>
  <si>
    <t>幻术学派</t>
  </si>
  <si>
    <t>自然先驱</t>
  </si>
  <si>
    <t>守望之誓</t>
  </si>
  <si>
    <t>士官长</t>
  </si>
  <si>
    <t>命流宗</t>
  </si>
  <si>
    <t>魂刃主宰</t>
  </si>
  <si>
    <t>鬼魅</t>
  </si>
  <si>
    <t>神枪手</t>
  </si>
  <si>
    <t>死灵</t>
  </si>
  <si>
    <t>光明领域</t>
  </si>
  <si>
    <t>孢子结社</t>
  </si>
  <si>
    <t>百变修会</t>
  </si>
  <si>
    <t>死灵学派</t>
  </si>
  <si>
    <t>狂野魔法</t>
  </si>
  <si>
    <t>荣耀之誓</t>
  </si>
  <si>
    <t>边界行者</t>
  </si>
  <si>
    <t>剑圣宗</t>
  </si>
  <si>
    <t>游荡剑客</t>
  </si>
  <si>
    <t>机车士</t>
  </si>
  <si>
    <t>巨灵</t>
  </si>
  <si>
    <t>创造学院</t>
  </si>
  <si>
    <t>幽暗领域</t>
  </si>
  <si>
    <t>梦境结社</t>
  </si>
  <si>
    <t>能量修会</t>
  </si>
  <si>
    <t>预言学派</t>
  </si>
  <si>
    <t>王冠之誓</t>
  </si>
  <si>
    <t>幽域追踪者</t>
  </si>
  <si>
    <t>星我宗</t>
  </si>
  <si>
    <t>役虫者</t>
  </si>
  <si>
    <t>科学怪人</t>
  </si>
  <si>
    <t>深海意志</t>
  </si>
  <si>
    <t>灵魂学院</t>
  </si>
  <si>
    <t>律法领域</t>
  </si>
  <si>
    <t>野火结社</t>
  </si>
  <si>
    <t>附魔学派</t>
  </si>
  <si>
    <t>鲜血</t>
  </si>
  <si>
    <t>破晓之誓</t>
  </si>
  <si>
    <t>妖精漫游者</t>
  </si>
  <si>
    <t>神龙宗</t>
  </si>
  <si>
    <t>自由之翼</t>
  </si>
  <si>
    <t>灵契师</t>
  </si>
  <si>
    <t>狂野领域</t>
  </si>
  <si>
    <t>风暴结社</t>
  </si>
  <si>
    <t>塑能学派</t>
  </si>
  <si>
    <t>飨食之誓</t>
  </si>
  <si>
    <t>海洋保护者</t>
  </si>
  <si>
    <t>酒仙宗</t>
  </si>
  <si>
    <t>奥秘领域</t>
  </si>
  <si>
    <t>凛冬结社</t>
  </si>
  <si>
    <t>书士会</t>
  </si>
  <si>
    <t>月剑之誓</t>
  </si>
  <si>
    <t>剧毒杀手</t>
  </si>
  <si>
    <t>心灵领域</t>
  </si>
  <si>
    <t>牧位者</t>
  </si>
  <si>
    <t>符咒女巫</t>
  </si>
  <si>
    <t>玫瑰之誓</t>
  </si>
  <si>
    <t>剑舞领域</t>
  </si>
  <si>
    <t>幽影魔法</t>
  </si>
  <si>
    <t>时间领域</t>
  </si>
  <si>
    <t>时间魔法</t>
  </si>
  <si>
    <t>重力魔法</t>
  </si>
  <si>
    <t>专长名称</t>
  </si>
  <si>
    <t>专长效果</t>
  </si>
  <si>
    <t>雾隐之力</t>
  </si>
  <si>
    <t>迷雾隐藏了你的人物的一部分记忆。随着时间流逝，越来越多的遗失记忆回到了你身上，这也许会在特定的时候帮助你。
该专长没有帮助角色扮演之外的效果。然而，在游戏进行的任何时段，你可以在长休完成后，把这个专长转变成另一个你能选取的、并且符合你人物背景的专长。这表现为你在睡梦中恢复了经验技术。
雾隐之力本身也需要遵守“一个专长只能选择一次”的规则限制。你不能在把雾隐之力转化为其它专长后，再次选择雾隐之力作为专长。</t>
  </si>
  <si>
    <t>专精专注</t>
  </si>
  <si>
    <t>你非常擅长保持专注，获得以下好处：
·你在专注豁免上可以加上熟练加值。如果原本已经可以加上熟练加值，改为加上双倍的熟练加值。
·当你因陷入失能而即将中断专注时，你可以令专注暂时不因失能而中断。在你的下个回合结束后，如果你依然处于失能状态，则专注中断。</t>
  </si>
  <si>
    <t>战士</t>
  </si>
  <si>
    <t>你接受了一定程度的军事训练，这给你带来以下好处：
·你获得一项军用武器熟练。
·你从任意职业中选择并习得一项战斗风格。</t>
  </si>
  <si>
    <t>巫师</t>
  </si>
  <si>
    <t>你接受了一定程度的魔法训练，这给你带来以下好处：
·你从“魔法伎俩”“奇术”“德鲁伊伎俩”“念合”中选择并习得一种戏法。
·你从任意职业中选择并习得一种法术风格。</t>
  </si>
  <si>
    <t>警觉</t>
  </si>
  <si>
    <t>经常对危机保持警惕，让你获得下列增益：
·你的先攻获得+5加值。
·你在意识清醒时无法被突袭。
·你看不到的生物对你发动攻击检定时，无法因此获得优势。</t>
  </si>
  <si>
    <t>领袖之证</t>
  </si>
  <si>
    <t>先决条件：感知13
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感知调整值。此后直至其完成一次短休或长休前，目标生物都无法再从该专长获益。</t>
  </si>
  <si>
    <t>骰子大小</t>
  </si>
  <si>
    <t>期望值</t>
  </si>
  <si>
    <t>语言学家</t>
  </si>
  <si>
    <t>你学习了不少语言和密码，获得下列增益：
·你的智力+1，不能超过24。
·你习得三门自选语言，可以选择秘密语言。
·你可以自创密码。而未经你传授解密方法的人只有两种方法可以破译你的密码：其一是进行智力检定（DC=你的智力值+熟练加值），或是以魔法破译。</t>
  </si>
  <si>
    <t>创生圣言</t>
  </si>
  <si>
    <t>先决条件：善良阵营
创生圣言是一种失落语言的遗存片段，被认为是宇宙诞生之初的回响，只有极少数的生物掌握了这种秘密语言。创生圣言没有书写形式，因为任何材料都无法承受它蕴含的神圣意义。
你习得“创生圣言”，并且学会了除了沟通以外的三种利用创生圣言的魔法，个人真名、崇高创造、天界咏唱，每种方法都需要透支生命。
个人真名
你可以尝试说出某个特定生物的个人真名（而非它的种族名），增强法术的约束力。在施法的同时，你支付等同于辨认怪物DC的生命值，进行一次辨认怪物检定，若检定成功，则说出了该生物的个人真名。
被说出个人真名的生物对抗传送、位面旅行、支配、异界誓缚的豁免具有劣势。当你施展一个使自身变形的法术时，如果你说出了某个特定生物的个人真名，你可以变形为它（而非它的种族中的一般个体）。
崇高创造
当你用手艺或魔法创造一个物件时，你观想了宇宙诞生的场景，支付一定的生命值，让物件的结构变得更加纯粹而完美。为无价值、非卖品或不超过100gp的物件，你需要支付10点生命值；物件的价值每乘10倍，你需要再支付10点生命值。你以此法创造的物件的AC增加等同于你的熟练加值的数值。你为创造物件所做的属性检定具有优势。
天界咏唱
创生圣言可以编入歌曲之中，成为超越凡间所有旋律，且回响着天堂之和谐的音乐。你可以在“吟唱”的同时，支付生命值来增幅一部分吟唱方式的效果，详见下表。</t>
  </si>
  <si>
    <t>d6</t>
  </si>
  <si>
    <t>毁灭真言</t>
  </si>
  <si>
    <t>先决条件：邪恶阵营
毁灭真言是一种尚未诞生的语言的预兆片段，被认为是宇宙寂灭之末的哀泣，只有极少数的生物掌握了这种秘密语言。毁灭真言没有书写形式，因为任何材料都无法承受它蕴含的亵渎意义。
你习得“毁灭真言”，并且学会了除了沟通以外的三种利用毁灭真言的魔法，凌人之令、衰败毁灭、渎神祈唤，每种方法都需要透支生命。
凌人之令
你说出某种“智力不大于8、等级不大于你”的生物的种族名，支配附近生物为你效力。使用一个动作，你支付等同于辨认怪物DC的生命值，进行一次辨认怪物检定，若检定成功，则附近30尺内的该种生物受你支配，持续1分钟；若检定失败，则目标在接下来的24小时内免疫你的凌人之令。
被支配的生物可以在每个自己的回合结束时进行一次感知豁免（DC=成功支配它的那次辨认怪物检定结果），豁免成功则不再受到支配，在接下来的24小时内免疫你的凌人之令。
衰败毁灭
当你对一个物件造成伤害时，或是尝试开锁、挣脱、破坏物件时，你观想了宇宙寂灭的场景，支付一定的生命值，让物件的结构变得更加脆弱而腐朽。为无价值、非卖品或不超过100gp的物件，你需要支付10点生命值；物件的价值每乘10倍，你需要再支付10点生命值。你对该物件造成的伤害可以无视其伤害阈值，你为开锁、挣脱、破坏此物件所做的属性检定具有优势。持续1分钟。
渎神祈唤
毁灭真言可以编入祈唤之中，成为超越凡间所有颂词，且暗示着炼狱之杀伐的咒语。你可以在获得“魔能祈唤”的同时，让自己的最大生命降低若干点，增幅一部分魔能祈唤的效果，详见下表。这种最大生命值的减损，无法被免疫或移除，除非你更换了被增幅的魔能祈唤。</t>
  </si>
  <si>
    <t>d8</t>
  </si>
  <si>
    <t>幸运</t>
  </si>
  <si>
    <t>你的离奇运气让你可以在最危险的时刻化险为夷。
你获得3点幸运点。当你进行攻击检定、属性检定、豁免检定时，你可以花费1幸运点，重骰其中一枚d20。你也可以在被攻击时选择花费1点幸运点，让攻击者重骰其中一枚d20。
若不止一个生物决定花费幸运点影响同一个骰值，则幸运点互相抵消，即并不会有重骰d20的行为。
完成一次长休后你可以恢复所有的幸运点。</t>
  </si>
  <si>
    <t>d10</t>
  </si>
  <si>
    <t>灵活移动</t>
  </si>
  <si>
    <t>你十分灵敏而快速。你获得下列增益：
·移动速度+10尺。
·在困难地形的移动不再消耗额外的移动力。处于水下不会对你的移动和攻击产生任何惩罚。
·对一个生物发动近战攻击后，无论命中与否，本回合剩下时间里你的主动移动都不会引发该生物的借机攻击。</t>
  </si>
  <si>
    <t>d12</t>
  </si>
  <si>
    <t>骑乘战斗</t>
  </si>
  <si>
    <t>骑乘时的你就像一头怪兽。当正在骑乘且未处于失能状态时，你获得下列增益：
·你对比你的坐骑体型更小的未骑乘生物发动近战攻击时，所进行的攻击检定具有优势。
·如果一次攻击可以同时对你和你的坐骑具有效果线，那么当敌人对你的坐骑发动攻击检定时，你可以强迫该次攻击转而针对你自己。
·你的坐骑获得“反射闪避”特性。
反射闪避
你在成为某一范围效应影响对象时，若该效应允许你通过成功的敏捷豁免来使伤害减半，则你在该豁免成功时不受伤害，而豁免失败时只受一半伤害。</t>
  </si>
  <si>
    <t>奋力冲刺</t>
  </si>
  <si>
    <t>先决条件：骑乘战斗
当你以攻击动作执行“骑乘冲刺”时，如果你拥有在一个攻击动作内发动多次攻击的能力，那么你可以发动等量次数的攻击。目标只对你发动的第一次攻击造成的穿刺伤害具有易伤。</t>
  </si>
  <si>
    <t>健壮</t>
  </si>
  <si>
    <t>你的生命上限增加等同于角色等级两倍的数值。</t>
  </si>
  <si>
    <t>坚地之心</t>
  </si>
  <si>
    <t>先决条件：没有或拥有“反射闪避”特性
如果你没有“反射闪避”特性，那么你获得以下效果：
你在成为某一范围效应影响对象时，若该效应允许你通过成功的豁免来使伤害减半，则你在该豁免成功时不受伤害。
如果你拥有“反射闪避”特性，那么你获得以下效果：
你在成为某一范围效应影响对象时，若该效应允许你通过成功的豁免来使伤害减半，则你在该豁免成功时不受伤害，而豁免失败时只受一半伤害。</t>
  </si>
  <si>
    <t>精类触碰</t>
  </si>
  <si>
    <t>暴露在妖精荒野的魔法之下的经历已经改变了你，使你获得了以下增益：
·智力或感知+1，不能超过24。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这些法术的施法关键属性是你由此专长提升的属性。</t>
  </si>
  <si>
    <t>影界触碰</t>
  </si>
  <si>
    <t>暴露在堕影冥界的魔法之下的经历已经改变了你，使你获得了以下增益：
·智力或感知+1，不能超过24。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这些法术的施法关键属性是你由此专长提升的属性。</t>
  </si>
  <si>
    <t>念动力</t>
  </si>
  <si>
    <t>你习得用你的意念移动物体的能力。你获得以下好处：
·智力或感知+1，不能超过24。
·你习得“法师之手”戏法，你施展它无需言语和材料成分，并且你可以让该幽灵手隐形。如果你已经习得该戏法，你施展该戏法时其施法距离提升30尺。该戏法的施法关键属性是你由此专长提升的属性。
·以一个附赠动作，你可以尝试以念动力推撞30尺内的一个你可见的生物。当你这样做时，目标必须成功通过一次力量豁免（DC=8+熟练加值+你由此专长提升的属性的属性调整值）否则将被你拉近或推离五尺。</t>
  </si>
  <si>
    <t>心电感应</t>
  </si>
  <si>
    <t>你觉醒了用意念与其他生物交流的能力。你获得以下好处：
·智力或感知+1，不能超过24。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</si>
  <si>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异种龙纹</t>
  </si>
  <si>
    <t>先决条件：出生于艾伯伦，没有其它龙纹。
你显现出异种龙纹。请设定它的外观和它造成的缺陷。你获得以下好处：
·体质+1，不能超过24。
·你从法师法术列表中习得一个戏法。然后，从法师法术列表中选择一个1环法术，不能选择“获得魔宠”。你习得该法术，并能通过龙纹施展它。当你施展过一次此法术后，必须经过一次短休或长休才能再次通过龙纹施展。在施展这些法术时，体质是你的施法关键属性。
·当你通过龙纹施展那个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拥有异种龙纹专长的角色有机会展现更大的力量。当你达到10级时，这个角色有10%的几率获得传奇恩惠。如果角色没有得到传奇恩惠，他在下次升级时仍有10%的机会获得。
如果角色得到了一个传奇恩惠，由DM来决定具体效果（不会获得这些传奇恩惠——次元旅行之恩惠、高等魔法之恩惠、不朽不灭之恩惠、法术召返之恩惠）。
该角色同时永久性地失去一个生命骰，其最大生命值相应地减少一个生命骰加上其体质调整值（最少减少1）。这一减少无法以任何方法解除。</t>
  </si>
  <si>
    <t>魔法学徒</t>
  </si>
  <si>
    <t>指定一个职业：吟游诗人、牧师、德鲁伊、契术师、法师、灵能师。你从指定职业法术列表里习得两个戏法。此外，你从相同列表里选择习得一个1环法术。你在两次长休之间，可以无需消耗法术位，施展该法术一次。
这些法术的施法关键属性取决于你指定的职业。</t>
  </si>
  <si>
    <t>法术对抗大师</t>
  </si>
  <si>
    <t>你获得智力（奥秘）、智力（宗教）、智力（灵能）的技能熟练项，如果已有熟练项则改为加上两倍。
你在解除检定中，可以加上你的熟练加值，如果已经可以加上熟练加值则改为加上两倍的熟练加值。</t>
  </si>
  <si>
    <t>仪式施法者</t>
  </si>
  <si>
    <t>先决条件：智力13或感知13
·智力或感知+1，不能超过24。
·如果你拥有施法或契约魔法特性，那么你可以对相关职业的法术进行仪式施法。
·你习得一些可以用于仪式施法的法术。这些法术会记载在一本仪式书上，你进行仪式施法时必须手持这本仪式书。当你选择该专长时，你获得一本记载了两个自选1环法术的仪式书。从吟游诗人、牧师、德鲁伊、灵能师、契术师、法师中选择一个职业。你所选法术必须在所选职业的法术列表里，且所选法术必须有仪式标签。你所选的职业同样决定了这些法术的施法关键属性。
当你获得了一份书写形式的法术时，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将其抄写进仪式书所用的秘术墨水的开销。</t>
  </si>
  <si>
    <t>法术射手</t>
  </si>
  <si>
    <t>先决条件：至少可以施展一个法术
你学会如何操控特定的法术进行攻击，并获得下列增益：
·智力或感知+1，不能超过24。
·当你施展需要进行攻击检定的法术时，该法术的施法距离加倍。
·远程法术攻击忽视半身掩护，并将四分之三掩护视为半身掩护。
·习得一个需要进行攻击检定的戏法。从吟游诗人、牧师、德鲁伊、灵能师、契术师、法师中选择其一，并从其相应的法术列表里选择该戏法。你施展该戏法的施法关键属性取决于你选择的职业。</t>
  </si>
  <si>
    <t>绝境一搏</t>
  </si>
  <si>
    <t>骰先攻时，如果敌方生物的熟练加值总和，至少为友方生物的熟练加值总和的两倍，你立即获得并执行一个回合。</t>
  </si>
  <si>
    <t>力量值</t>
  </si>
  <si>
    <t>金属龙赋礼</t>
  </si>
  <si>
    <t>你掌握了一些金属龙的力量，你获得以下好处：
·龙类治疗。你习得“疗伤术”法术。你可以施展一次该法术而无需消耗法术位。当你以此法施展该法术后，你不能再次通过该特性施展它，直至你完成一次长休。该法术的施法关键属性是智力或感知（你在获得此专长时进行选择）。
·庇护之翼。你可以展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熟练加值的次数，在完成一次长休后恢复所有次数。</t>
  </si>
  <si>
    <t>微型</t>
  </si>
  <si>
    <t>色彩龙赋礼</t>
  </si>
  <si>
    <t>你掌握了一些色彩龙的力量，你获得以下好处：
·繁彩注魔。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当你受到强酸，寒冷，火焰，闪电或毒素伤害时，你可以使用你的反应，使自己在当此伤害中获得对应伤害类型的抗性。你可以使用该特性等同于你熟练加值的次数，你在完成一次长休后重获所有已使用的次数。</t>
  </si>
  <si>
    <t>小型</t>
  </si>
  <si>
    <t>你已经可以在战斗中造成精准的穿刺。你获得以下好处：
·力量或敏捷+1，不能超过24。
·每回合一次，当你用造成穿刺伤害的攻击命中一个生物时，你可以重投其中一个伤害骰。你必须使用重投的结果。
·当你用造成穿刺伤害的攻击命中一个生物并且造成重击时，你可以在计算穿刺伤害时投一个额外的伤害骰。</t>
  </si>
  <si>
    <t>中型</t>
  </si>
  <si>
    <t>挥砍者</t>
  </si>
  <si>
    <t>你已熟知该砍向何处以造成最重的伤害。你获得以下好处：
·力量或敏捷+1，不能超过24。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</si>
  <si>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大型</t>
  </si>
  <si>
    <t>钝击者</t>
  </si>
  <si>
    <t>你擅长于碾碎敌人的技艺，你获得了以下增益：
·力量或体质+1，不能超过24。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</si>
  <si>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重击大师</t>
  </si>
  <si>
    <t>经过战斗训练，你越来越擅长寻找敌人的弱点，将重击视作自己理所当然的能力。你的攻击检定的重击范围+1，并从以下好处中选择一种获得：
·你造成重击后，可以不消耗移动力，移动最多10尺，作为同一次攻击的一部分。
·你造成重击后，可以获得等同于1d10+攻击属性的属性调整值的临时生命值。
·你造成重击的攻击可以无视目标的伤害抗性。
·你以重击将一个敌对生物的生命值降至0时，你附近10尺内的所有敌对生物会陷入恐慌状态，直到你的下个回合结束。
你可以重复多次选择该专长，但每次都必须选择一种不同的好处。</t>
  </si>
  <si>
    <t>超巨型</t>
  </si>
  <si>
    <t>近程射手</t>
  </si>
  <si>
    <t>你能够在近距离保持射击的精准性和协调性。
你在敌方生物的触及范围内发动远程攻击时，不会因此受到借机攻击，攻击也不会因此具有劣势。</t>
  </si>
  <si>
    <t>凶蛮打手</t>
  </si>
  <si>
    <t>你的酒馆斗殴经验，带给你以下好处：
·力量或体质+1，不能超过24。
·每回合一次，在掷近战武器攻击的伤害骰时，你可以重掷武器的伤害骰并选用新旧骰值二者之一。</t>
  </si>
  <si>
    <t>战地施法者</t>
  </si>
  <si>
    <t>先决条件：至少可以施展一个法术
你学会如何在混乱的战场上施展法术，并获得下列增益：
·你的专注豁免具有优势。
·你在持握武器和盾牌时依然可以满足施法所需的姿势成分。
·当敌方生物引发你的借机攻击时，如果该生物处于你的施法距离为触及的法术的施法距离内，你可以对该生物施展一个目标型法术作为借机攻击。该法术不一定要是施法距离为触及的法术，但是施法时间必须是1动作，且该生物必须为法术的唯一目标。</t>
  </si>
  <si>
    <t>战斗反射</t>
  </si>
  <si>
    <t>先决条件：敏捷13
你在每一轮中（从你的当前回合开始，到你的下个回合开始），发动的前X次借机攻击无需消耗反应，X等于敏捷调整值。如果你处于无法执行反应的状态（例如失能、被“电爪”命中），那么你依然不能发动借机攻击。
敌对生物主动移动进入你周围5尺时，会引发你的借机攻击。</t>
  </si>
  <si>
    <t>巫师杀手</t>
  </si>
  <si>
    <t>你拥有一套对付施法者的近身战法，并获得下列增益：
·你的触及范围内的一个生物施展法术时，你可以用你的反应对该生物发动一次借机攻击。你自由决定这次借机攻击发生在施法之前还是之后。
·生物受到由你造成的伤害时，对抗该次伤害进行的专注豁免具有劣势。
·你为抵抗触及范围内生物对你施展的法术进行的豁免具有优势。</t>
  </si>
  <si>
    <t>精通巫师杀手</t>
  </si>
  <si>
    <t>先决条件：巫师杀手
你对付施法者的近身战法得到了进一步增强：
·当你通过“巫师杀手”，选择在触及范围内的生物施法之前对它发动一次借机攻击，该次借机攻击命中后，施法者需要进行一次专注豁免，豁免DC取决于该次借机攻击的伤害。豁免失败则法术被反制。
·你为抵抗一个法术进行豁免时，如果施法者处于你的触及范围内，你视为具有该次豁免的熟练项。</t>
  </si>
  <si>
    <t>剑刃丛生</t>
  </si>
  <si>
    <t>先决条件：战斗反射，敏捷13
你保持着谨慎的防御，寻找着对手每一个可能的破绽，即使是最细微的移动也可能成为你反击的契机。获得以下增益：
·你忽视其它生物的“移动时不会引发借机攻击”的特性，例如撤离动作和飞掠特性。
·你触及范围内的生物进行传送之前，你可以对它发动借机攻击。
·敌对生物传送进入你的触及范围之后，你可以对它发动借机攻击。</t>
  </si>
  <si>
    <t>哨兵</t>
  </si>
  <si>
    <t>你的掌握的技术让你在击破敌人防御时占尽优势，并获得下列增益：
·你的借机攻击命中目标时，目标在本回合剩下时间内的移动速度降至0，并处于锚定状态。
·处于你触及范围内的生物对除你外的目标发动攻击后，你可以对攻击者发动一次借机攻击。</t>
  </si>
  <si>
    <t>超自然直觉</t>
  </si>
  <si>
    <t>你对超凡生物的行动有了更敏锐的感应和克制：
当一个生物在你的触及范围内，使用动作、附赠动作、反应、传奇动作，启动一种“非法术的魔法效应”或“吐息武器”时，你可以对它发动借机攻击。若该次借机攻击命中，目标在1分钟内，无法再次启动与引发借机攻击的那次“非法术的魔法效应”或“吐息武器”同名的能力。</t>
  </si>
  <si>
    <t>灵动借机</t>
  </si>
  <si>
    <t>先决条件：战斗反射，敏捷13
你时刻准备着面对意外状况。获得以下增益：
·发动的借机攻击具有优势。
·每次发动借机攻击后，你可以移动5尺，作为同一个行动的一部分。</t>
  </si>
  <si>
    <t>战技借机</t>
  </si>
  <si>
    <t>先决条件：任意战技专长
你对打击技相当熟练，能够在纷乱战场上趁机发动出来。
当敌方生物引发你的借机攻击时，你可以对该生物使用一个打击技作为借机攻击。该打击技的启动时间必须是一动作或是替换一次攻击，且该生物必须为该打击技的唯一目标。
如果作为借机攻击的打击技命中了目标，那么在你的下个回合内，你对目标使用的任意打击技的卓越骰消耗降低1枚。该生物不一定要是这些打击技的唯一目标，但至少要是目标之一。</t>
  </si>
  <si>
    <t>罗比拉战术</t>
  </si>
  <si>
    <t>先决条件：9级，战斗反射，敏捷13
使用罗比拉战术战术时，你承受伤害以将你置于更有利的形势。此危险的牺牲并非不适或不智的，但失败的报复攻击会使优势丧失。罗比拉男爵，一个轻率又鲁莽的战士，以此技巧对抗敌人而闻名。在你开始行动时，你可以采取会使你受伤的战斗姿势，但让你能在对手攻击你时，看到他们防御的破绽。
任何一位攻击你的敌人，命中后的伤害掷骰可以加上他们的熟练加值。然而在他们攻击你之后，无论是否命中，只要他们在你的触及范围内，你就可以对他们发动借机攻击。</t>
  </si>
  <si>
    <t>双武器低级战士</t>
  </si>
  <si>
    <t>先决条件：两只手，敏捷15
你使用以下规则进行双持武器战斗，取代“战斗-发动攻击-近战攻击-双持武器战斗”一节原有的规则：
如果你的双手分别持握了一把轻型近战武器，那么当你在自己的回合内执行攻击动作时，你可以选择一只手作为主手，仅使用主手武器发动攻击。然后你会获得一个额外的附赠动作，该附赠动作的唯一用途是让你以另外一只手作为副手，发动一次具有劣势的武器攻击。该附赠攻击的伤害不获得你的属性调整值加成，除非该调整值为负数。</t>
  </si>
  <si>
    <t>双武器中级战士</t>
  </si>
  <si>
    <t>先决条件：双武器低级战士，敏捷17，额外攻击
进行双持武器战斗时，你可以用附赠动作以副手发动两次具有劣势的武器攻击。</t>
  </si>
  <si>
    <t>二刀流</t>
  </si>
  <si>
    <t>先决条件：双武器低级战士
你可以使用一把不具有轻型属性的单手近战武器作为主手武器、和一把轻型近战武器作为副手武器，进行双持武器战斗。
你用附赠动作以副手发动的前两次攻击，不会因双持而具有劣势。</t>
  </si>
  <si>
    <r>
      <rPr>
        <sz val="12"/>
        <color theme="1"/>
        <rFont val="宋体"/>
        <charset val="134"/>
      </rPr>
      <t>无机素材</t>
    </r>
  </si>
  <si>
    <r>
      <rPr>
        <sz val="12"/>
        <color theme="1"/>
        <rFont val="宋体"/>
        <charset val="134"/>
      </rPr>
      <t>有机素材</t>
    </r>
  </si>
  <si>
    <r>
      <rPr>
        <sz val="12"/>
        <color theme="1"/>
        <rFont val="宋体"/>
        <charset val="134"/>
      </rPr>
      <t>魔晶素材</t>
    </r>
  </si>
  <si>
    <r>
      <rPr>
        <sz val="12"/>
        <color theme="1"/>
        <rFont val="宋体"/>
        <charset val="134"/>
      </rPr>
      <t>工艺费用</t>
    </r>
  </si>
  <si>
    <r>
      <rPr>
        <sz val="12"/>
        <color theme="1"/>
        <rFont val="宋体"/>
        <charset val="134"/>
      </rPr>
      <t>生物类型</t>
    </r>
  </si>
  <si>
    <r>
      <rPr>
        <sz val="12"/>
        <color theme="1"/>
        <rFont val="宋体"/>
        <charset val="134"/>
      </rPr>
      <t>无机素材系数</t>
    </r>
  </si>
  <si>
    <r>
      <rPr>
        <sz val="12"/>
        <color theme="1"/>
        <rFont val="宋体"/>
        <charset val="134"/>
      </rPr>
      <t>有机素材系数</t>
    </r>
  </si>
  <si>
    <r>
      <rPr>
        <sz val="12"/>
        <color theme="1"/>
        <rFont val="宋体"/>
        <charset val="134"/>
      </rPr>
      <t>魔晶素材系数</t>
    </r>
  </si>
  <si>
    <t>双武器高级战士</t>
  </si>
  <si>
    <t>先决条件：双武器中级战士，敏捷19，精通额外攻击
进行双持武器战斗时，你可以用附赠动作以副手发动三次具有劣势的武器攻击。</t>
  </si>
  <si>
    <r>
      <rPr>
        <sz val="12"/>
        <color theme="1"/>
        <rFont val="宋体"/>
        <charset val="134"/>
      </rPr>
      <t>魔药</t>
    </r>
  </si>
  <si>
    <r>
      <rPr>
        <sz val="12"/>
        <color theme="1"/>
        <rFont val="宋体"/>
        <charset val="134"/>
      </rPr>
      <t>异怪</t>
    </r>
  </si>
  <si>
    <t>双武器超级战士</t>
  </si>
  <si>
    <t>先决条件：双武器高级战士，敏捷21，非凡额外攻击
进行双持武器战斗时，你可以用附赠动作以副手发动四次具有劣势的武器攻击。</t>
  </si>
  <si>
    <r>
      <rPr>
        <sz val="12"/>
        <color theme="1"/>
        <rFont val="宋体"/>
        <charset val="134"/>
      </rPr>
      <t>卷轴</t>
    </r>
  </si>
  <si>
    <r>
      <rPr>
        <sz val="12"/>
        <color theme="1"/>
        <rFont val="宋体"/>
        <charset val="134"/>
      </rPr>
      <t>野兽</t>
    </r>
  </si>
  <si>
    <t>绝对双刃</t>
  </si>
  <si>
    <t>先决条件：二刀流，双武器高级战士
你可以使用两把不具有轻型属性的单手近战武器，进行双持武器战斗。
你用附赠动作以副手发动的前四次攻击，不会因双持而具有劣势。</t>
  </si>
  <si>
    <r>
      <rPr>
        <sz val="12"/>
        <color theme="1"/>
        <rFont val="宋体"/>
        <charset val="134"/>
      </rPr>
      <t>法器</t>
    </r>
  </si>
  <si>
    <r>
      <rPr>
        <sz val="12"/>
        <color theme="1"/>
        <rFont val="宋体"/>
        <charset val="134"/>
      </rPr>
      <t>植物</t>
    </r>
  </si>
  <si>
    <t>双刀借机</t>
  </si>
  <si>
    <t>先决条件：双武器中级战士
进行双持武器战斗时，当敌方生物引发你的借机攻击，你可以对该生物分别以主手武器和副手武器发动一次攻击，作为借机攻击。</t>
  </si>
  <si>
    <r>
      <rPr>
        <sz val="12"/>
        <color theme="1"/>
        <rFont val="宋体"/>
        <charset val="134"/>
      </rPr>
      <t>武器</t>
    </r>
  </si>
  <si>
    <r>
      <rPr>
        <sz val="12"/>
        <color theme="1"/>
        <rFont val="宋体"/>
        <charset val="134"/>
      </rPr>
      <t>天界生物</t>
    </r>
  </si>
  <si>
    <t>团队防御</t>
  </si>
  <si>
    <t>你无法获得伤害抗性、免疫、吸收。
每当一种效应使你获得伤害抗性、免疫、吸收时，改为在该效应的持续时间内，你在未失能时散发着半径10尺的保护灵光，这是一种魔法性的蓝色光辉。灵光范围内除你以外的友方生物获得对应的伤害抗性、免疫、吸收。</t>
  </si>
  <si>
    <r>
      <rPr>
        <sz val="12"/>
        <color theme="1"/>
        <rFont val="宋体"/>
        <charset val="134"/>
      </rPr>
      <t>护甲（布甲、皮甲、镶钉皮甲、蛛丝衣、藤甲、金竹甲、龙龟铠、木制盾牌）</t>
    </r>
  </si>
  <si>
    <r>
      <rPr>
        <sz val="12"/>
        <color theme="1"/>
        <rFont val="宋体"/>
        <charset val="134"/>
      </rPr>
      <t>构装生物</t>
    </r>
  </si>
  <si>
    <t>灵魂装备</t>
  </si>
  <si>
    <t>魂能是一种由所有活着的、死去的、甚至在理论上还包括还未出生的智能生物的灵魂能量构成的不定形的魔法物质。在它最纯粹的形态下，魂能表现为一种闪着深蓝色的光芒的迷雾。受过特定训练或者有特殊天赋的人可以将魂能塑造成具有物理形态的实体，也就是灵魂装备。
你觉醒了塑造灵魂装备的魂能魔法天赋，可以在自己的身体部位上创造出一件由你选择的魔法服饰，详见“装备-魔法物品-服饰”。当你升级后，你可以重新选择这件魔法服饰的品类。如果你消耗了一件灵魂装备的魔力，而该种魔力不可再生，那么即使升级也无法重新塑造新的灵魂装备。举例来说，塑造“杂货法袍”并从其中的补丁获取物品后，你不能把二手的杂货法袍换成其它服饰。
灵魂装备无法从你身上卸除，但你可以用一个动作让其消失或重现。当你死亡时，它会随之消失；当你复活时，它会随之重现。如果灵魂装备需要同调，只要你能够满足同调条件，你就可以无需同调位去同调它。如果灵魂装备被摧毁，在你完成一次短休或长休后，它会重现。
你能以此法创造出的服饰的最大价值，取决于你的等级，以及该服饰是否需要同调，详见下表。下表中超过20级的部分是为高等级怪物准备的，玩家角色通常无法获得。
你可以多次选择该专长，每次塑造一件不同部位的灵魂装备。</t>
  </si>
  <si>
    <r>
      <rPr>
        <sz val="12"/>
        <color theme="1"/>
        <rFont val="宋体"/>
        <charset val="134"/>
      </rPr>
      <t>护甲（链甲衫、鳞甲、半身板甲、链甲、板条甲、板甲、金属盾牌）</t>
    </r>
  </si>
  <si>
    <r>
      <rPr>
        <sz val="12"/>
        <color theme="1"/>
        <rFont val="宋体"/>
        <charset val="134"/>
      </rPr>
      <t>不死生物</t>
    </r>
  </si>
  <si>
    <t>演员</t>
  </si>
  <si>
    <t>精通于模仿和演戏，让你获得下列增益：
·智力+1，不能超过24。
·当你试图将自己扮演成另一个人时，你进行感知（欺瞒）和智力（表演）检定具有优势。
·你可以模仿另一个生物的说话口吻和声音。前提是你必须听过被模仿者至少1分钟的说话或发声。对方聆听你的模仿时可以进行一次感知（洞悉）检定，并与你的感知（欺瞒）检定进行对抗，若对方胜出便会意识到声音是模仿出来的。</t>
  </si>
  <si>
    <r>
      <rPr>
        <sz val="12"/>
        <color theme="1"/>
        <rFont val="宋体"/>
        <charset val="134"/>
      </rPr>
      <t>服饰（手套、护腿、斗篷、外套、帽子、鞋子）</t>
    </r>
  </si>
  <si>
    <r>
      <rPr>
        <sz val="12"/>
        <color theme="1"/>
        <rFont val="宋体"/>
        <charset val="134"/>
      </rPr>
      <t>龙类</t>
    </r>
  </si>
  <si>
    <t>敏锐心灵</t>
  </si>
  <si>
    <t>你可以单单依靠心算来记录时间和方向的变换，并且可以做到精确无比。你获得下列增益：
·智力+1，不能超过24。
·你始终知道北边的方位。
·你始终知道距离下一次日出或日落还有多久。
·你可以完美复述出一个月内你所听到或看到的任何事。</t>
  </si>
  <si>
    <r>
      <rPr>
        <sz val="12"/>
        <color theme="1"/>
        <rFont val="宋体"/>
        <charset val="134"/>
      </rPr>
      <t>服饰（护符、腰带、头饰、眼镜、项链、戒指）</t>
    </r>
  </si>
  <si>
    <r>
      <rPr>
        <sz val="12"/>
        <color theme="1"/>
        <rFont val="宋体"/>
        <charset val="134"/>
      </rPr>
      <t>元素生物</t>
    </r>
  </si>
  <si>
    <t>观察力</t>
  </si>
  <si>
    <t>你能够迅速把握周遭环境的要点，并获得下列增益：
·智力或感知+1，不能超过24。
·某生物在讲话时，若你可以看见目标的嘴且你可以理解其语言，则你就可以依靠读唇来解读目标正在讲什么。
·你的被动感知（察觉）值和被动智力（调查）值获得+5加值。</t>
  </si>
  <si>
    <r>
      <rPr>
        <sz val="12"/>
        <color theme="1"/>
        <rFont val="宋体"/>
        <charset val="134"/>
      </rPr>
      <t>奇物</t>
    </r>
  </si>
  <si>
    <r>
      <rPr>
        <sz val="12"/>
        <color theme="1"/>
        <rFont val="宋体"/>
        <charset val="134"/>
      </rPr>
      <t>精类</t>
    </r>
  </si>
  <si>
    <t>历史正文</t>
  </si>
  <si>
    <t>先决条件：智力19
你对战争的把控超越了空间，开始防范时间维度的打击。
当过去的历史被某人篡改，危及到你当下的存在性时，你可以用意念（无需任何动作）发动历史正文。在篡改者面前，创造出具有你当下的全部数据和装备的复制体。你可以在发动历史正文时，选择身边30尺内若干名自愿生物，也创造出它们的复制体，作为维护历史的帮手。
这些复制体的唯一目的是保护既定的历史，确保你可以继续存在，不会做出其它行动。当篡改者被阻止时，复制体也就完成了使命，随后消失。
举例来说，你的仇敌回到了三十年前，试图消灭婴儿时期的你。此时，保卫历史的复制体便能够出现，尽力与这名仇敌作战，或是带着婴儿时期的你逃走，或是尝试找到婴儿时期的仇敌将它杀害。</t>
  </si>
  <si>
    <r>
      <rPr>
        <sz val="12"/>
        <color theme="1"/>
        <rFont val="宋体"/>
        <charset val="134"/>
      </rPr>
      <t>攻城装置</t>
    </r>
  </si>
  <si>
    <r>
      <rPr>
        <sz val="12"/>
        <color theme="1"/>
        <rFont val="宋体"/>
        <charset val="134"/>
      </rPr>
      <t>邪魔</t>
    </r>
  </si>
  <si>
    <r>
      <rPr>
        <sz val="12"/>
        <color theme="1"/>
        <rFont val="宋体"/>
        <charset val="134"/>
      </rPr>
      <t>载具</t>
    </r>
  </si>
  <si>
    <r>
      <rPr>
        <sz val="12"/>
        <color theme="1"/>
        <rFont val="宋体"/>
        <charset val="134"/>
      </rPr>
      <t>巨人</t>
    </r>
  </si>
  <si>
    <t>圣斗士顽强</t>
  </si>
  <si>
    <t>先决条件：强健身心
同样的招式，对你难以生效第二次。
为抵抗某种效应进行豁免时，你在过去的1分钟内，每因为同名效应进行过一次豁免，在该次豁免中便有一重优势。
没有特定效应名称的豁免，例如濒死豁免、受到伤害后的专注豁免，无法享受该专长的增益。</t>
  </si>
  <si>
    <r>
      <rPr>
        <sz val="12"/>
        <color theme="1"/>
        <rFont val="宋体"/>
        <charset val="134"/>
      </rPr>
      <t>类人生物</t>
    </r>
  </si>
  <si>
    <t>危机管理</t>
  </si>
  <si>
    <t>先决条件：强健身心
遇到危险时，你能够做出应对，减少自己承受的损失。
如果你拥有力量豁免熟练项：敌方生物使你陷入减速、倒地、束缚、锚定、缚地状态之前，你可以立即移动“5×力量调整值”尺。你也可以消耗一个反应，改为移动等同于你的移动速度的距离。然后才陷入对应的状态。
如果你拥有敏捷豁免熟练项：你或其它友方生物使你获得加速、隐形、虚化状态之后，你可以立即执行一次撤离或躲藏（仍需满足躲藏的所有条件）。
如果你拥有体质豁免熟练项：当敌方生物使你陷入目盲、耳聋、力竭、中毒、衰老状态之后，在接下来的一分钟之内，你有两次机会，无视你在攻击检定、属性检定、豁免检定上的一项劣势。
如果你拥有智力豁免熟练项：敌方生物使你陷入恍惚、失能、麻痹、石化、震慑、昏迷（因生命值降为0而导致的昏迷除外）、睡眠之前，你可以立即施展一个施法时间为1动作的戏法。你也可以消耗一个反应，改为施展一个施法时间为1动作的法术。然后才陷入对应的状态。
如果你拥有感知豁免熟练项：敌方生物使你陷入魅惑、恐慌、支配、嗜血状态之前，你可以立即发动一次武器攻击。你也可以消耗一个反应，改为发动次数等同于你在攻击动作中的正常攻击次数的攻击。然后才陷入对应的状态。</t>
  </si>
  <si>
    <r>
      <rPr>
        <sz val="12"/>
        <color theme="1"/>
        <rFont val="宋体"/>
        <charset val="134"/>
      </rPr>
      <t>怪兽</t>
    </r>
  </si>
  <si>
    <t>适应性</t>
  </si>
  <si>
    <t>先决条件：强健身心
你适应了一些不利效果，让自己不至于陷入过于艰难的处境。
当你在对抗一次负面状态的豁免中失败，如果你的检定结果与豁免DC的差值不超过8点，那么你只会陷入对应负面状态的较弱版本。详见下表。</t>
  </si>
  <si>
    <r>
      <rPr>
        <sz val="12"/>
        <color theme="1"/>
        <rFont val="宋体"/>
        <charset val="134"/>
      </rPr>
      <t>泥怪</t>
    </r>
  </si>
  <si>
    <t>熟习</t>
  </si>
  <si>
    <t>·你的智力+1，不能超过24。
·获得三种自选的技能熟练项。</t>
  </si>
  <si>
    <t>技艺专家</t>
  </si>
  <si>
    <t>你已磨练了自身的特定技艺，并获得了以下好处：
·选择一项属性提升1，不能超过24。
·你选择并获得一项技能的熟练项。
·选择一项你熟练的技能，你获得该技能的专精。</t>
  </si>
  <si>
    <t>动作如潮</t>
  </si>
  <si>
    <t>先决条件：战斗风格，一种军用武器熟练
你的回合内，你可以突破极限，以获取一个额外的动作、一个额外的附赠动作、等同于移动速度的移动力。
使用该特性后，你可以通过以下两种方式之一，来重获该特性的使用机会：
1、角色等级提升一级。
2、在当前等级完成10次长休。</t>
  </si>
  <si>
    <t>武器大师</t>
  </si>
  <si>
    <t>经过大量练习后，你熟练的掌握了各种武器的使用方法，并获得下列增益：
·力量或敏捷+1，不能超过24。
·获得简易武器和军用武器的熟练项。</t>
  </si>
  <si>
    <t>擅长异种武器</t>
  </si>
  <si>
    <t>先决条件：一种军用武器熟练
你选择一种异种武器，获得其熟练项。
你可以多次选择该专长，每次选择一种不同的异种武器。</t>
  </si>
  <si>
    <t>对人立体机动装置</t>
  </si>
  <si>
    <t>先决条件：立体机动装置的异种武器熟练
你掌握了一些另类的立体机动装置的使用方式，它的来历可能不甚光彩，但力量本身是无罪的。你着装立体机动装置时获得以下益处：
•你使用立体机动装置时，可以额外消耗10尺移动力，使掠袭距离额外增加20尺。
•即使你在以立体机动装置发动的掠袭中的攻击检定的d20骰值为1，也不会陷入倒地或速度降低至0。
•你以立体机动装置发动掠袭时可以不使用刀片进行攻击，改为投掷最多等同于熟练加值数量的爆炸物（详见“装备-特殊物品-爆炸物”）。</t>
  </si>
  <si>
    <t>浮光掠影</t>
  </si>
  <si>
    <t>先决条件：立体机动装置的异种武器熟练，额外攻击
当你以攻击动作仅使用立体机动装置进行攻击时，你可以在一个动作内发动两次掠袭。
当你获得“精通额外攻击”特性后，你可以选择该专长第二次，允许你在一个动作内发动三次掠袭；当你获得“非凡额外攻击”特性后，你可以选择该专长第三次，允许你在一个动作内发动四次掠袭。</t>
  </si>
  <si>
    <t>英魂之刃</t>
  </si>
  <si>
    <t>先决条件：双刃弯刀的异种武器熟练
你是一个双刃弯刀大师，获得以下好处：
·力量或敏捷+1，不能超过24。
·在使用双刃弯刀时，重击范围+1。</t>
  </si>
  <si>
    <t>高效捕捉者</t>
  </si>
  <si>
    <t>先决条件：捕网的异种武器熟练
你在回合内使用交互动作取出或收回捕网后，立即重获一个交互动作。
你忽略捕网规则中“当用捕网以一个动作、附赠动作或反应进行攻击时，你只能攻击一次，而不论你正常情况下可发动攻击的次数”的条目，改为遵循以下规则条目：
当以一个动作、附赠动作或反应进行攻击时，你可以用捕网进行一次攻击。如果你正常情况下能够在一个动作、附赠动作或反应中进行多次攻击，你可以将剩余的攻击次数用其它武器或徒手打击进行攻击。</t>
  </si>
  <si>
    <t>穿透与回旋</t>
  </si>
  <si>
    <t>先决条件：飞轮的异种武器熟练
每回合X次，当你投掷飞轮命中一个目标后，如果它尚未达到最大射程，你可以让飞轮不立刻返回，而是继续沿着路径飞行和攻击，当它在一次投掷中命中第X+1个目标后才会返回。
你可以多次选择该专长，X为你选择该专长的次数。举例来说，选择该专长4次时，每回合4次，你可以在投掷飞轮时最多命中5个目标。</t>
  </si>
  <si>
    <t>贯手著棼</t>
  </si>
  <si>
    <t>先决条件：巨弓的异种武器熟练
你的攻击可以轻易穿透屋栋，射翻或钉死庞然大物，留下致命伤痕。
·你使用巨弓攻击时，每额外消耗一次攻击次数，便在伤害掷骰上额外加上一次你的属性调整值。
·你使用巨弓攻击时，可以放弃一重优势选择下列选项，你可以同时放弃多重优势，选择多个选项。其中某些选项需要豁免，豁免DC=8+熟练加值+力量调整值+巨弓的额外攻击加值：
1、击倒。你使用巨弓命中一个生物时，目标需要进行一次力量豁免，豁免失败则倒地。
2、钉死。你使用巨弓命中一个位于硬质墙体附近或地面上的，处于倒地状态的目标时，可以尝试钉死目标，目标进行力量豁免，豁免失败则被箭矢钉死在原地，因此陷入束缚状态。目标回合结束时可以进行一次力量豁免，豁免成功则解除束缚。另外，被束缚的生物或是它周围5尺内的其他生物可以用一个动作进行一次力量检定（检定DC=豁免DC），检定成功则终止该生物承受的束缚状态。
3、透射。你使用巨弓命中一个物件时，你可以让箭矢再穿透5尺。若是箭矢穿透了该障碍的厚度，它也会同时对该障碍物后方5尺的一个目标进行攻击。
4、创伤。你使用巨弓命中一个生物时，目标需要进行一次体质豁免，豁免失败则它在1分钟内，受到的下一次治疗效果减半。</t>
  </si>
  <si>
    <t>钩镰大师</t>
  </si>
  <si>
    <t>先决条件：钩镰枪的异种武器熟练
你精通于使用钩镰枪，你获得下列增益：
·你使用钩镰枪命中目标时，每回合一次，你可尝试勾住目标无需花费附赠动作或攻击次数。
·你可以用一个附赠动作，使用构镰枪对被它勾住的生物发动一次攻击或推撞。
·拔出钩镰枪所需进行的感知（医药）检定的DC增加5点。</t>
  </si>
  <si>
    <t>巨武器大师</t>
  </si>
  <si>
    <t>先决条件：一种重型近战武器的熟练项
你习得将武器重量作为优势的技巧，使你的攻击力大增。你获得下列增益：
·旋风顺劈。你在自己回合内用近战武器造成重击，或将一个生物生命值降至0时，可以额外发动一次近战武器攻击，作为同一个动作的一部分。该特性每回合只能触发一次。
·狂雷奔袭。你在自己回合内向一个敌对生物移动时，可以让本回合的移动力增加10尺。若如此做，除非你在同一回合内对该生物使用具有熟练项的重型武器发动了攻击，否则回合结束时你提升一级力竭等级。
·碎钢锻打。你用具有熟练项的重型武器对一个着装了盔甲或盾牌的生物发动近战攻击时，该次攻击的攻击检定获得+3加值；如果该生物同时着装了盔甲和盾牌，则改为获得+5加值。</t>
  </si>
  <si>
    <t>长柄武器大师</t>
  </si>
  <si>
    <t>先决条件：一种触及武器或长棍的熟练项
你可以用触及武器或长棍与敌人近身缠斗。你获得下列增益：
·当你只使用长棍或触及武器执行攻击动作时，可以用附赠动作以武器手柄的末端发动一次近战攻击。这次攻击与主攻击使用同样的调整值，其武器伤害骰为d4，伤害类型为钝击伤害。
·当你持握长棍或触及武器时，生物进入你触及范围会引发你的借机攻击，你只能以长棍或触及武器发动这次借机攻击。</t>
  </si>
  <si>
    <t>神射手</t>
  </si>
  <si>
    <t>先决条件：一种远程武器的熟练项
你是熟练掌握了远程武器的使用方式，使看似不可能的射击都能成功命中。你获得下列增益：
·百步穿杨。攻击最大射程内的敌人时，你的远程武器攻击检定不会因为超过常规射程具有劣势。
·没石饮羽。你的远程武器攻击可以忽视半身掩护，并将四分之三掩护视为半身掩护。
·弹无虚发。你用拥有熟练项的远程武器发动攻击前，可以选择使该次攻击的攻击检定获得+2加值。若本次攻击命中，则其伤害掷骰承受-2减值。</t>
  </si>
  <si>
    <t>强弩专家</t>
  </si>
  <si>
    <t>先决条件：一种弩的熟练
你凭借一系列的用弩修行，获得下列增益：
·你使用拥有熟练项的弩时，忽略其装填属性。
·你执行攻击动作以单手武器攻击后，可以用附赠动作使用一把正在持握的、不具有双手属性的弩发动攻击。</t>
  </si>
  <si>
    <t>森林射手</t>
  </si>
  <si>
    <t>先决条件：神射手
你曾经在森林的野生环境中锻炼了自己的射击能力。你获得下列增益：
·弹道校正。远程武器攻击失手后，你在同一回合内发动的下一次远程武器攻击具有优势。
·穿林射击。你的远程武器攻击可以忽视半身掩护和四分之三掩护。
·隐蔽狙击。在躲藏状态下，你发动远程武器攻击若未命中，不会暴露你的位置。</t>
  </si>
  <si>
    <t>风浪射手</t>
  </si>
  <si>
    <t>先决条件：神射手
你曾经在风浪的野生环境中锻炼了自己的射击能力。你获得下列增益：
·重心箭头。你的远程武器攻击，可以忽略非魔法的强风环境引起的攻击劣势。原本会使你的远程武器攻击自动失手的魔法强风（如“风墙术”），现在仅仅是使你的攻击具有劣势。
·穿浪射击。你的远程武器攻击，可以忽视水下战斗时“水流阻碍攻击”和“光线折射”引起的攻击劣势。
·移动狙击。在躲藏状态下，你每次发动远程武器攻击时可以移动10尺，不额外消耗移动力，前提是你移动后的位置依然适合躲藏。</t>
  </si>
  <si>
    <t>枪手</t>
  </si>
  <si>
    <t>你持枪时的手快眼明使你获得了以下增益：
·敏捷+1，不能超过24。
·获得枪械的异种武器熟练项。
·你忽略枪械的换弹属性。</t>
  </si>
  <si>
    <t>长长法杖</t>
  </si>
  <si>
    <t>先决条件：长棍熟练
·持用长棍时，你可以用一个交互动作说出“长、长、长”作为命令语，给它注入延展的魔法，让长棍获得触及属性。持用具有触及属性的武器时，你可以用一个交互动作说出“短、短、短”作为命令语，给它注入收缩的魔法，让它失去触及属性。当你丢下武器时，它的长度变回原状。
·持握具有触及属性的武器时，你施展的施法距离为“触及”的法术的施法距离也会随之增加。</t>
  </si>
  <si>
    <t>旋转飞掷</t>
  </si>
  <si>
    <t>先决条件：一种投掷武器熟练
你使用一种具有投掷属性的武器，发动远程武器攻击时，若该武器会在攻击后折返回你的手上，你可以在该次攻击中使用旋转飞掷。
使用旋转飞掷以后，你的投掷武器在攻击后不会立刻折返，而是骰一枚d6以决定一个位置（见下表），若该位置在你发动攻击时，已经被其它生物或障碍物占据，则重新掷骰以决定一个位置。所有看到这把武器的生物，都会意识到它即将折返的位置在何处。
投掷武器会在你的下个回合开始时，折返到那个位置。如果此时你处于那个位置并且有空着的手，你可以用空手接住这把投掷武器。在同一回合内，你使用刚刚接住的武器进行的下一次远程武器攻击，会在命中后造成重击。
投掷武器的折返位置
D6折返位置
1你攻击时的位置
2你与攻击目标连线的水平中点
3你攻击时的位置向东15尺
4你攻击时的位置向南15尺
5你攻击时的位置向西15尺
6你攻击时的位置向北15尺</t>
  </si>
  <si>
    <t>忠诚武器折返</t>
  </si>
  <si>
    <t>先决条件：一种投掷武器熟练
你使用一种具有投掷属性的武器发动远程武器攻击之后，该武器会折返到你的手上，并且这种折返过程变得难以阻拦。
首先，该武器会通过变化系魔法，进入虚化状态，使得它无法被实体生物持握和固定，也能够穿过大部分障碍物，直到它完成折返。
其次，如果该武器的折返路径上有“力场墙”一类无法穿越的障碍，它会通过咒法系魔法，传送返回。
最后，若是该武器的折返依然无法完成，则它会不断进行尝试，一旦能够折返就会立刻这样做。</t>
  </si>
  <si>
    <t>见切与居合</t>
  </si>
  <si>
    <t>先决条件：敏捷13，力量13，一种近战武器熟练
你的近战武器会配备一个武器鞘。这给你的武器提供两种状态，拔刀势和收刀势，武器只能在拔刀势下发动攻击。通常情况下，将武器从拔刀势转化为收刀势，需要花费一个动作。将武器从收刀势转化为拔刀势，需要花费一个交互动作。你学会了两种使用刀剑的战术，见切与居合。
见切。敌人对你发动近战攻击，进行了攻击掷骰而DM宣布结果前，如果你持握着一把处于拔刀势的近战武器，你可以使用一个反应，使你针对这次攻击的AC+2。如果这次攻击没有命中你，你可以借此次攻击的力量将该武器变为收刀势，作为同一个反应的一部分。
居合。当你使用一把收到势的近战武器发动攻击时，你将把武器变为拔刀势作为同一次攻击的一部分，并在该次攻击中具有优势。</t>
  </si>
  <si>
    <t>攻城专家</t>
  </si>
  <si>
    <t>你接受了大量关于攻城装置的训练，并获得以下增益：
·你无需满足攻城装置的智力需求，也能操作它们。
·你操作的攻城装置的先攻值增加5点。</t>
  </si>
  <si>
    <t>驾驶员</t>
  </si>
  <si>
    <t>你接受了大量关于载具的训练，并获得以下增益：
·你无需满足载具的智力需求，也能操作它们。
·你操作的载具的先攻值增加5点。</t>
  </si>
  <si>
    <t>中甲运用</t>
  </si>
  <si>
    <t>你习得如何使用非重甲的盔甲和盾牌，并获得下列增益：
·力量或敏捷+1，不能超过24。
·获得轻甲、中甲和盾牌的护甲熟练项。</t>
  </si>
  <si>
    <t>重甲运用</t>
  </si>
  <si>
    <t>先决条件：中甲熟练项
你学习了重甲的使用方法，你获得下列增益：
·力量+1，不能超过24。
·获得重甲的护甲熟练项。</t>
  </si>
  <si>
    <t>重甲大师</t>
  </si>
  <si>
    <t>先决条件：重甲熟练项
你可以用护甲偏斜大多数致命的攻击。你获得下列增益：
·力量+1，不能超过24。
·着装重甲时，你每次受到的钝击、穿刺、挥砍伤害减少等同于熟练加值的数值。
·着装重甲不再使你进行敏捷（隐匿）检定时具有劣势。</t>
  </si>
  <si>
    <t>盾牌大师</t>
  </si>
  <si>
    <t>先决条件：盾牌熟练
你的盾牌不只可以用于防御，还可以用来攻击。你在持用盾牌时获得下列增益：
·力量或体质提升1，不能超过24。
·你在自己的回合内执行攻击动作的之前或之后，可以用附赠动作以盾牌尝试推撞一个在你的触及范围内的生物。
·如果你不处于失能状态，则你为抵抗以你为唯一目标的法术或其他伤害性效应而进行敏捷豁免时，可以将你盾牌的AC添加到相应的敏捷豁免中。
·当某个效应使让你进行豁免成功可以伤害减半的敏捷豁免检定时，你可以用你的反应将盾牌挡在你与效应原点之间，此时豁免成功则不受任何伤害。</t>
  </si>
  <si>
    <t>大厨</t>
  </si>
  <si>
    <t>花费在专研厨艺上的工夫已然有了回报，使你获得了以下增益：
·体质或感知+1，不能超过24。
·获得感知（生存）的技能熟练项，已有熟练则改为专精。
·作为短休的一部分，只要你手上有原料和厨师工具，你便可以烹饪特制料理。你可以为特定数量的生物准备这种食物，其数量等同于4+你的熟练加值。在本次短休结束时，任何食用了料理并且花费了生命骰来恢复生命值的生物，额外恢复1d8点生命值；如果你有生存专精，则改为每枚生命骰额外恢复1d8点生命值。
·在花费一小时精心制作后，或者在完成一次长休时，你可以制作等同于熟练加值个数的餐点。这些餐点在制作完成后持续八小时。任何食用餐点的生物的获得等同于你的熟练加值的临时生命值，持续至他们下次完成长休；如果你有生存专精，则改为生命上限增加等同于你的熟练加值的数值。</t>
  </si>
  <si>
    <t>运动员</t>
  </si>
  <si>
    <t>你接受的全面肉体锻炼使你获得下列增益：
·获得力量（运动）的熟练项，已有熟练则改为专精。
·移动速度+10尺；如果有运动专精，则改为+15尺。
·从倒地状态起身不引发借机攻击。
·获得等同于步行速度的攀爬速度和游泳速度。
·进行助跑跳远或跳高时只需要移动5尺而不是10尺；如果有运动专精，则改为无需助跑。</t>
  </si>
  <si>
    <t>斗殴高手</t>
  </si>
  <si>
    <t>你习惯了粗暴而混乱的肉体斗殴，而随手拿个东西都能成为你的武器。你获得下列增益：
·力量或体质+1，不能超过24。
·获得临时武器的熟练项。
·徒手打击的伤害骰变为1d4，如果原本的伤害骰便是1d4或更高，则改为徒手打击的伤害骰增大一级（d4→d6，d6→d8，d8→d10，d10→d12）。
·你在自己的回合内用徒手打击或临时武器命中敌人时，可以用附赠动作尝试对该敌人进行一次擒抱。</t>
  </si>
  <si>
    <t>升阶幽影</t>
  </si>
  <si>
    <t>先决条件：能够施展“幽影塑能Shadow Evocation”或“幽影咒法Shadow Conjuration”，并将其作为准备法术或已知法术
你的幽影法术可以被升环施法。
当你使用六环或更高环阶的法术位施展“幽影塑能Shadow Evocation”时，你使用的法术位每比五环高一环，可以模拟的塑能系法术的环阶便提高一环。
当你使用六环或更高环阶的法术位施展“幽影咒法Shadow Conjuration”时，你使用的法术位每比五环高一环，可以模拟的咒法系法术的环阶便提高一环。</t>
  </si>
  <si>
    <t>秘密幽影</t>
  </si>
  <si>
    <t>先决条件：升阶幽影
你的幽影法术可以模拟相同环阶的法术。
你的“幽影塑能Shadow Evocation”能够模拟五环塑能系法术，你的“幽影咒法Shadow Conjuration”能够模拟召唤或呼唤生物的五环咒法系法术。</t>
  </si>
  <si>
    <t>增强星质构装体</t>
  </si>
  <si>
    <t>先决条件：能够施展“创造星质构装体Create Astral Construct”，并将其作为准备法术或已知法术
你创造的星质构装体可以获得两项选单能力。</t>
  </si>
  <si>
    <t>私人星质构装体</t>
  </si>
  <si>
    <t>先决条件：增强星质构装体
你为每一阶星质构装体设定一套选单能力，作为私人构装体。每当你获得更高环阶的法术位时，你需要再为该阶的星质构装体设置一套选单能力，作为私人构装体。一经设置，无法更改。
当你创造与私人构装体能力相同的星质构装体时，“创造星质构装体Create Astral Construct”法术的基础持续时间由1分钟变为1小时。</t>
  </si>
  <si>
    <t>虹彩学徒</t>
  </si>
  <si>
    <t>先决条件：能够施展“虹光之弓Prismatic Bow”“虹光喷射Prismatic Spray”“虹光法墙Prismatic Wall”之一，并将其作为准备法术或已知法术
色彩中蕴含着天生的魔力。就像复杂的语言和手势拥有驱逐某些生物的能力一样，擅长使用虹彩能量的施法者能够将色彩的内在能力展现出来，这是一种能体现自然内在力量的完美防护。
你可以用一个动作消耗一枚法术位，以30尺内你能看见的一点为障壁的起点，创造出一面长30尺、高15尺、厚1寸的虹彩障壁，固定不动，持续1分钟。虹彩障壁是由彩色光线组成的不透明障壁，会阻碍视线、不阻碍大部分效应的效果线。障壁类似“虹光法墙”，不会被魔法失效的区域所压制（尽管当你位于魔法失效的区域时，你无法调用法术位创造出障壁）。
障壁的颜色和效果，取决于你所消耗的法术位。当除了你以外的生物移动穿越障壁时，它们需要进行敏捷豁免，豁免失败则承受伤害，豁免成功则伤害减半。豁免DC等于你的法术豁免DC。</t>
  </si>
  <si>
    <t>虹彩塑形</t>
  </si>
  <si>
    <t>先决条件：虹彩学徒
你可以把虹彩障壁塑造出更丰富的形状和颜色。
当你创造虹彩障壁时，你可以从以下三种形态中选择一种，其它效果不变：
·墙形态。以30尺内你能看见的一点为障壁的起点，创造出一面长30尺、高15尺、厚1寸的虹彩障壁，固定不动，持续1分钟。
·球形态。以30尺内你能看见的一点为障壁的圆心，创造出一个半径15尺的球形障壁，固定不动，持续1分钟。
·纱形态。以自身为障壁的圆心，创造出一个比你占据的空间直径多10尺的球形障壁（比如你是中型生物，那么障壁直径15尺），跟随你移动，持续1分钟。
当你创造虹彩障壁时，你可以一次性消耗多个不同环阶的法术位，创造出多层的障壁效果。
较弱的障壁永远被当作在较强的障壁的外围。比如有人闯入一个蓝、绿、橙三色障壁，看作先进入橙色的障壁，然后是绿色，最后才是蓝色的。想要消除内层的较强障壁，必须先消除外层的较弱障壁。</t>
  </si>
  <si>
    <t>自我存档</t>
  </si>
  <si>
    <t>先决条件：能够施展“存档加载术Saveand Load”，并将其作为准备法术或已知法术
当你对其它生物施展“存档加载术”时，此法术也会同时记录你的存档。当其中一个生物的存档被读取，此法术便终止了，作用于另一个生物的记录也会被清空。
你的回合内，如果你保持着“存档加载术”，无论你处于何种负面状态或不利影响，无论你的意识是否清醒，无论你是否可以执行附赠动作，你都可以消耗一个附赠动作，读取自己的存档。</t>
  </si>
  <si>
    <t>月读</t>
  </si>
  <si>
    <t>先决条件：秘法之眼（见“职业专长”），能够施展“睡眠术Sleep”“律令痛苦Power Word Pain”“微观世界Mircocosm”之一，并将其作为准备法术或已知法术
当你施展“睡眠术”“律令痛苦”“微观世界”时，你的眼中闪过血色的勾玉。你从1到6之间选择一个正整数作为X，让法术具有以下效果：
·你可以在施法时，指定区域内的若干名生物，让它们不受此法术影响，它们的生命值也不会计入此法术能够影响的生命值总量。
·此法术能够影响的生命值总量，增加20×X点。
·被此法术影响的生物，将会在幻觉中承受巨大的心灵痛苦，在每个自己的回合开始时受到X×d10点心灵伤害。
·骰一枚D6，若结果小于或等于X，你陷入目盲。在目盲被治愈之前，你无法通过“秘法之眼”来侦测魔法效应，也无法使用以“秘法之眼”作为先决条件的能力。</t>
  </si>
  <si>
    <t>天照</t>
  </si>
  <si>
    <t>先决条件：秘法之眼（见“职业专长”），能够施展“巫术箭Witch Bolt”“汲能术Enervation”“能量乱流Energy Current”之一，并将其作为准备法术或已知法术
当你施展“巫术箭”“汲能术”“能量乱流”时，你的眼中闪过血色的勾玉。你从1到6之间选择一个正整数作为X，让法术具有以下效果：
·只要你能够保持对此法术的专注，此法术的持续时间变为“直到被解除”。
·每当此法术对法术的主要目标造成伤害时，你可以引发大范围的黑炎爆发。以主要目标为圆心，半径为5×X尺。区域内的生物需要进行敏捷豁免，豁免失败则受到X×法术环阶的暗蚀伤害，豁免成功则伤害减半。区域内未被着装或携带的物件受到等量伤害。
·骰一枚D6，若结果小于或等于X，你陷入目盲。在目盲被治愈之前，你无法通过“秘法之眼”来侦测魔法效应，也无法使用以“秘法之眼”作为先决条件的能力。</t>
  </si>
  <si>
    <t>神威</t>
  </si>
  <si>
    <t>先决条件：秘法之眼（见“职业专长”），能够施展“传送术Teleport”“异界传送Plane Shift”“梦境旅行Dream Travel”之一，并将其作为准备法术或已知法术
当你施展“传送术”“异界传送”“梦境旅行”时，你的眼中闪过血色的勾玉。你从1到6之间选择一个正整数作为X，让法术具有以下效果：
·你可以在施法时选择触及范围内的一个非自愿生物，作为法术的目标。
·你选择作为法术目标的非自愿生物的共计X条肢体（包括胳膊、腿、爪子、翅膀、触须、尾巴等附肢，不包括头颅、内脏等器官）。目标为每条肢体进行一次智力豁免，豁免失败则受到4d8点力场伤害，然后该条肢体被传送，而目标的残疾身体留在原地，无法使用基于已损失肢体的能力。
·骰一枚D6，若结果小于或等于X，你陷入目盲。在目盲被治愈之前，你无法通过“秘法之眼”来侦测魔法效应，也无法使用以“秘法之眼”作为先决条件的能力。</t>
  </si>
  <si>
    <t>心中有剑</t>
  </si>
  <si>
    <t>先决条件：能够施展“心灵之楔Mind Sliver”“塔莎心灵鞭Tasha’s Mind Whip”“劳洛希姆心灵长枪Raulothim's PsychicLance”之一，并将其作为准备法术或已知法术
当你施展“心灵之楔”“塔莎心灵鞭”“劳洛希姆心灵长枪”后，你一只空余的手中出现了同名的魔法武器，持续至你的下个回合开始。你视为具有该武器的熟练项。武器数据见下。
心灵之楔
武器（匕首），非卖品
你可以用一个附赠动作，以该武器发动一次攻击。心灵之楔命中后造成心灵而非穿刺伤害，命中生物时，目标需要进行一次智力豁免，豁免失败则其在你的下个回合结束前的下一次豁免中承受1d4减值。
塔莎心灵鞭
武器（鞭），非卖品
你可以用一个附赠动作，以该武器发动一次攻击。塔莎心灵鞭命中后造成心灵而非挥砍伤害，命中生物时，目标需要进行一次感知豁免，豁免失败则在你的下个回合结束前陷入恍惚。
劳洛希姆心灵长枪
武器（矛），非卖品
你可以用一个附赠动作，以该武器发动一次攻击。劳洛希姆心灵长枪命中后造成心灵而非穿刺伤害，命中生物时，目标需要进行一次智力豁免，豁免失败则在你的下个回合结束前陷入失能。如果你在使用劳洛希姆心灵长枪攻击一个生物的同时，说出了该生物的真名，这次攻击不会因为无法看见目标而具有劣势。</t>
  </si>
  <si>
    <t>自救者</t>
  </si>
  <si>
    <t>先决条件：能够施展“次级复原术Lesser Restoration”“心之宁静Heart’s Ease”“海灵之泉Fountain of Protean”之一，并将其作为准备法术或已知法术
在你受到一种不利影响前，若该不利影响可以被“次级复原术”“心之宁静”或“海灵之泉”所解除，你可以用一个反应施展对应的法术。该法术的效果会在你陷入不利影响之后生效。</t>
  </si>
  <si>
    <t>剑艺</t>
  </si>
  <si>
    <t>先决条件：能够施展“轰雷剑Booming Blade”“翠炎剑Green-Flame Blade”“法兰快剑Farron Rapier”之一，并将其作为已知戏法
你掌握的“轰雷剑”变为“真·轰雷剑”，“翠炎剑”变为“真·翠炎剑”，“法兰快剑”变为“真·法兰快剑”。使用你的角色总等级而非游荡者等级，决定这些戏法的伤害成长。</t>
  </si>
  <si>
    <t>融汇百家</t>
  </si>
  <si>
    <t>先决条件：额外攻击，拥有狂战士、武僧、灵能武士、游侠、圣武士中的至少两个职业
如果你的狂战士、武僧、灵能武士、游侠、圣武士职业等级总和达到了11级，你获得“精通额外攻击”；如果达到了19级，你获得“非凡额外攻击”。</t>
  </si>
  <si>
    <t>大一统理论</t>
  </si>
  <si>
    <t>先决条件：施法或契约魔法，12级
你研究了不同魔法学派之间的共同点，决心将它们融为一体。
当你获得此专长时，选择两个不同的法术学派，称为你的“共通法术池”。你可以为两个来自“共通法术池”的不同学派的法术，同时维持专注。
你可以多次选择该专长，从第二次开始，每次选择时将一个新的法术学派加入“共通法术池”。选择该专长七次后，你成为传奇施法者。</t>
  </si>
  <si>
    <t>自然施法</t>
  </si>
  <si>
    <t>先决条件：德鲁伊语
你在变形效应作用下，可以如同变形前那样施法。你需要用德鲁伊语来满足法术的言语成分，用变形后的肢体来满足法术的姿势成分。</t>
  </si>
  <si>
    <t>异怪变身</t>
  </si>
  <si>
    <t>先决条件：德鲁伊12级
你使用荒野变形时，可以变为异怪。</t>
  </si>
  <si>
    <t>亡灵变身</t>
  </si>
  <si>
    <t>先决条件：德鲁伊12级
你使用荒野变形时，可以变为不死生物。</t>
  </si>
  <si>
    <t>龙类变身</t>
  </si>
  <si>
    <t>先决条件：德鲁伊12级
你使用荒野变形时，可以变为龙类。</t>
  </si>
  <si>
    <t>离奇先见</t>
  </si>
  <si>
    <t>先决条件：法师
你可以使用一个附赠动作，将一个已准备的法师法术更换为你的法术书上的另一个法师法术。
直到完成一次短休或长休前，你无法再次使用该特性。</t>
  </si>
  <si>
    <t>专精法师</t>
  </si>
  <si>
    <t>先决条件：法师，没有其它职业等级
从防护、附魔、变化、咒法、塑能、幻术、预言、死灵中选择一个法术学派作为你的专精学派。这会使得你严重损失作为法师的多样性，很可能无法完成职业定位。但你能够比其它人更早一步接触到强力法术。
·你的智力+2，不能超过24。
·你无法用法术位施展除了专精学派以外的其它学派法术。
·某些戏法会随着角色等级提升而获得更强的效果。在计算专精学派的戏法效果时，你视为拥有比当前高2级的角色等级，并且专精学派的戏法伤害骰会在第21级时再一次得到提升。
·在计算你的法术位、能抄录进法术书的最高法术环阶、能施展的最高法术环阶、准备法术数量时，你视为拥有比当前高2级的法师职业等级。第21级、第22级的法师法术位，详见下表。</t>
  </si>
  <si>
    <t>术士</t>
  </si>
  <si>
    <t>先决条件：法师（Wizard），奥术传承不是书士会
你通过先天的血脉或是后天的奇遇，获得了奥术施法能力。魔法本身即是术士的组成部分。这股潜藏的力量弥漫在术士的身体、心灵和灵魂深处，等待着被释放而出。具有以下效果：
·你以自己的魔法天赋代替法术书，因此不再需要实体的法术书。升级时加入法术书的法师法术，对你而言是魔法天赋的进一步觉醒。发现新的法师法术时，花费时间和金钱将其抄录进法术书的过程，对你而言是配置魔药、刺激血脉、在奥术途径上走得更远的方法。
·你可以在完成短休时恢复1点术法点。</t>
  </si>
  <si>
    <t>命令不死生物</t>
  </si>
  <si>
    <t>先决条件：摧毁不死生物
当你施展“死者交谈Speak with Dead”时，除了与尸体沟通以外，你还能够与不死生物沟通，没有心智的不死生物会使用残留的精魂与你交流。
当你使用“引导神力：驱散不死生物”成功将不死生物驱散时，如果其等级等于或低于你，你可以放弃摧毁它们，改为让它们臣服于你。这些不死生物将在接下来的24小时内受到你的支配。</t>
  </si>
  <si>
    <t>神圣超魔法</t>
  </si>
  <si>
    <t>先决条件：引导神力，至少一个超魔专长
你可以在你的神术中灌注能量，以让其更为强大。当你为神术添加超魔专长时，可以消耗至少一次引导神力的使用次数，来降低其中一个超魔专长的“1+消耗的引导神力使用次数”点的术法点消耗。你在每个神术上最多运用神圣超魔法一次。</t>
  </si>
  <si>
    <t>第二领域</t>
  </si>
  <si>
    <t>先决条件：领域
选择一个你的神祇拥有，但没有作为你的牧师子职业的领域，作为你的第二领域。如果你不信仰任何神祇，则自选一个其它领域。
在准备牧师法术时，你可以在每个法术环阶上选择两种领域法术之一，作为你当日的领域法术。你同时获得两个领域的“理念争锋”特性。牧师等级达到2级时，你同时获得两个领域的2级“引导神力”选项。
举例来说，8级牧师艾拉信仰维婕丝，艾拉的牧师子职业是律法领域，而第二领域是奥秘领域，她今日准备法术时，可以挑选1环的命令术（律法领域法术）、2环的涅斯图魔法灵光（奥秘领域法术）、3环的防护法阵（奥秘领域法术）、4环的强迫术（律法领域法术）作为她的领域法术，视为牧师法术，且不占用准备法术数量。艾拉使用引导神力时，可以选择“驱散不死生物”“秩序之令”“幻想杀手”三者之一。</t>
  </si>
  <si>
    <t>神官</t>
  </si>
  <si>
    <t>先决条件：牧师（Cleric），领域不是战争
你是一名柔弱文雅的神职人员，不擅长冲锋陷阵。具有以下效果：
·你始终无法获得中甲、重甲、盾牌、军用武器、异种武器的熟练项，且牧师生命骰由d8变为d6。如果你现在或未来获得这些熟练项，则移除它们。
·如果你拥有力量豁免熟练项，你可以失去它，改为获得智力豁免熟练项。你可以在未来通过其它方式，重新获得力量豁免熟练项。
·在考虑某个生物与你之间的掩护时，你可以将该生物与你的连线上体型大于或等于你的友方生物视作全掩护，而非半身掩护。
·如果敌人在朝向你主动移动时，进入了除你以外的某名友方生物的近战触及范围内的某一个方格，它会引发这名友方生物的借机攻击。
·如果你看见某个友方生物的生命值降为0，你可以用一个反应对它施展一个施法时间为1动作或1附赠动作的牧师治疗法术，你仍然需要满足法术的其它所有施展条件。即使该法术原本可以影响多个目标，现在也只对它生效。你能用反应治疗的次数等于熟练加值，在完成长休后恢复所有次数。</t>
  </si>
  <si>
    <t>施法旋律</t>
  </si>
  <si>
    <t>先决条件：吟唱，表演熟练项
法术对你而言成为了表演的一部分。当你的嘴被吟唱占用时，你依然可以满足吟游诗人法术的言语成分；当你的双手被吟唱占用时，你依然可以满足吟游诗人法术的姿势成分。</t>
  </si>
  <si>
    <t>专注旋律</t>
  </si>
  <si>
    <t>先决条件：吟游诗人9级，表演熟练项
你能够同时为吟唱和吟游诗人法术分别维持一个专注。这并非一心二用，而是因为表演和法术彻底融为一体。</t>
  </si>
  <si>
    <t>额外吟唱</t>
  </si>
  <si>
    <t>先决条件：吟唱
两次长休之间，你能进行的吟唱次数增加3次。</t>
  </si>
  <si>
    <t>雪花战舞</t>
  </si>
  <si>
    <t>先决条件：吟游诗人3级，表演熟练项
你掌握了雪花战舞，一种神秘的使用单手武器的招式，它使你可以在战场上看似随意地跳跃穿梭，如同一片旋转，锋利的雪花。
你的回合内，无需任何动作，花费一次吟唱次数，你可以表演一段致命的战斗招式。1分钟内，你在使用单手近战武器发动攻击时，可以用智力调整值代替力量或敏捷以决定攻击检定和伤害掷骰。若你穿戴着盾牌、中甲或重甲，雪花战舞会失效。</t>
  </si>
  <si>
    <t>散兵战术</t>
  </si>
  <si>
    <t>先决条件：偷袭
当你获得此专长时，你可以让自己的移动速度增加10尺、减少10尺、或不变。一经选定，无法更改。
你可以用另一种方式来完成偷袭：如果你发动攻击时所处的位置与你在当前回合开始时所处的位置，之间的距离至少为“你的移动速度+10尺”，那么你发动的所有不具有劣势的武器攻击均能造成偷袭，也不会受每回合一次偷袭的触发条件限制。</t>
  </si>
  <si>
    <t>暗行者</t>
  </si>
  <si>
    <t>先决条件：盗贼黑话
经过与同行的秘密交流之后，你学会了如何跟踪和欺骗那些超乎寻常的生物，获得以下好处：
·当你躲藏时，有盲视、颤动感知的生物必须通过察觉检定才能注意到你，如同那些以视觉发现你的生物一样。
·当你躲藏时，如果你发动的攻击未命中，便不会暴露你的位置。
·你不会留下脚印和脚步声。</t>
  </si>
  <si>
    <t>毒师</t>
  </si>
  <si>
    <t>先决条件：怪物毒素
你使用的毒变得格外致命。
你无视生物对毒素伤害的抗性和免疫，无视生物对中毒状态的豁免优势和免疫。</t>
  </si>
  <si>
    <t>系挂灵光</t>
  </si>
  <si>
    <t>先决条件：守护灵光
以一个动作，你触碰一枚圣徽，将它指定为你的系挂圣徽。你通过圣武士法术或职业特性产生的“灵光”，不再以你为中心，改为以系挂圣徽为中心。
你失能或意识不清醒，不会让系挂圣徽发出的灵光消失；但是如果系挂圣徽被破坏，那么灵光消失，在1分钟后，再次以你为中心发出灵光。
当你再次选择系挂圣徽时，前一枚系挂圣徽失效。</t>
  </si>
  <si>
    <t>破邪斩</t>
  </si>
  <si>
    <t>先决条件：至圣斩
你对邪恶阵营生物的近战武器攻击检定获得+1加值，若附加“精通至圣斩”则改为+2加值。你对邪恶阵营生物使用的“至圣斩”和“精通至圣斩”每粒伤害骰增大一级（d8→d10，d10→d12）。</t>
  </si>
  <si>
    <t>天界坐骑</t>
  </si>
  <si>
    <t>先决条件：圣武士5级
你的坐骑的生物类型变为天界生物，呈现出银色、金色或白色的神圣色彩。如果你的坐骑是天界生物，它获得以下效果。
·获得60尺黑暗视觉。
·体质+4，敏捷+2。
·对光耀和暗蚀伤害具有抗性。
·获得天生施法能力，施法关键属性为感知。随意施展：光亮术；每项1/日：祝福术、疗伤术、曳光弹。</t>
  </si>
  <si>
    <t>钢铁坐骑</t>
  </si>
  <si>
    <t>先决条件：圣武士5级或恶武士5级
你的坐骑的生物类型变为构装生物，呈现出铁灰色、钴蓝色或青铜色的金属色彩。如果你的坐骑是构装生物，它获得以下效果。
·获得60尺黑暗视觉。
·智力+4，感知+2。
·无需呼吸、进食、饮水、睡眠。免疫毒素伤害和中毒状态。
·获得天生施法能力，施法关键属性为智力。随意施展：修复术；每项1/日：弹射、护盾术、障碍术。</t>
  </si>
  <si>
    <t>神力追猎</t>
  </si>
  <si>
    <t>先决条件：永恒训练
你可以用一个附赠动作来使用“引导神力：永恒训练”。当你在一次永恒训练持续期间，首次杀死对应的生物时，你恢复一次引导神力的使用次数。</t>
  </si>
  <si>
    <t>荒野咆哮</t>
  </si>
  <si>
    <t>先决条件：原始意识
你可以利用自然原力，以一个附赠动作，发出荒野咆哮。使用此能力时你必须要能够说话，咆哮声会传播150尺。从以下效果中选择一项发动。某些荒野咆哮选项需要在你的角色等级达到特定等级之后，才能使用。
狼嚎：狼群用嚎叫传递信号以合作捕猎。1分钟内，只要你与盟友的近战触及范围内包括了同一名敌人，你们就可以对它进行夹击。
狮吼：雄狮在怒吼后发动猛扑。你获得等同于基础速度的移动力，接下来的1分钟内，你可以用一个附赠动作获得等同于基础速度的移动力。
虎啸（6级）：猛虎用啸声宣告自己是领地的主人。1分钟内，敌人主动移动进入你的近战触及范围内的某一个方格时，会引发你的借机攻击。
龙吟（9级）：真龙在沉吟中统御着战场。1分钟内，当一个你能看见的、除你以外的友方生物在攻击动作中发动一次武器攻击前，你可以用一个反应并消耗一枚法术位，令此次攻击不计入攻击动作中可以发动武器攻击的总次数。若此次攻击造成了重击或偷袭伤害，你恢复这枚法术位。
你能使用该特性的次数等于熟练加值，完成一次长休后恢复所有次数。</t>
  </si>
  <si>
    <t>灵活契约魔法</t>
  </si>
  <si>
    <t>先决条件：契约魔法
你用意念（无需任何动作）将一个契约魔法的法术位拆分为两个更低环阶的契约魔法的法术位，这两个法术位的环阶总和等同于被拆分的那个法术位。或者你消耗某个玄奥秘法的使用机会，获得两个契约魔法的法术位，这两个法术位的环阶总和等同于玄奥秘法的环阶，且都不超过5环。举例来说，15级契术师拉斐尔消耗了1个8环的玄奥秘法，那么他可以获取2个4环法术位，或是1个5环法术位和1个3环法术位。
你能使用该特性的次数等于熟练加值，在完成长休后恢复所有次数。</t>
  </si>
  <si>
    <t>魔能爆大师</t>
  </si>
  <si>
    <t>先决条件：至少两个与“魔能爆”相关的魔能祈唤
你可以为“魔能爆”进行升环施法。你施展“魔能爆”时使用的法术位环阶若是比戏法高，此法术的伤害骰从d10变为d12。使用一环/三环/五环法术位施展魔能爆时，此法术的攻击检定获得+1/+2/+3加值。</t>
  </si>
  <si>
    <t>精通契约</t>
  </si>
  <si>
    <t>先决条件：魔契恩泽
根据你选择的魔契恩泽，你获得一种好处：
书之魔契：你可以用感知代替智力，进行奥秘、宗教、灵能、调查、历史、自然检定。
链之魔契：你的魔宠从你掌握的其它专长中，习得两个专长，它仍然需要满足专长的先决条件才能让专长生效。
刃之魔契：使用契约武器发动攻击时，你可以在攻击检定和伤害掷骰中，使用你的感知调整值以代替力量或敏捷。</t>
  </si>
  <si>
    <t>魔能导师</t>
  </si>
  <si>
    <t>先决条件：施法或契约魔法
·你的感知+1，不能超过24。
·对神秘学的研究使你解锁了体内的秘法能量。你从契术师职业中选择并获得一项魔能祈唤。如果该祈唤具有等级要求，则仅当你是一位等级足够的契术师时才能选择该祈唤。
当你升级时，你可以将该祈唤更换为契术师职业中的另一个魔能祈唤。</t>
  </si>
  <si>
    <t>精通反制法术</t>
  </si>
  <si>
    <t>先决条件：施法或契约魔法
你能够辨认和反制法术的距离，从60尺增加到120尺。
当你成功辨识一个法术的名称时，如果你当前能够施展一个与它具有某一种共同点的法术，无论法术类型是否相同，你可以用一个反应，消耗一个与辨认的法术基础环阶相同的法术位，反制该法术。
共同点包括以下几种：
·造成相同类型的伤害。
·可以为相同类型的生物恢复生命值。
·产生相同类型的负面状态。
·产生相同类型的正面状态。
·都具有传送、位面旅行效应。
·都能召唤、呼唤、创造生物。
·除了“高等”“次级”“群体”等词缀以外，两个法术的名称相同。</t>
  </si>
  <si>
    <t>法术穿透</t>
  </si>
  <si>
    <t>先决条件：施法或契约魔法
你施展的职业法术，忽略“魔法抗性”“魔法耐性”“法术抗性”“侏儒狡黠”“法术抗力斗篷”“抗法盾”等专门针对魔法强化豁免的效果。</t>
  </si>
  <si>
    <t>戏法学者</t>
  </si>
  <si>
    <t>先决条件：拥有六环或更高环阶的法术位
利用高环法术位里溢出的能量，你可以不耗费什么力气就创造出魔法效应。每当你完成长休时，你可以选择一个你能够施展的低环法术。直到下一次长休前，只要你还拥有比这个法术的基础环阶高至少四环的法术位，你就可以把这个低环法术视为戏法来施展（无需消耗法术位，无法升环施法）。你所选择的这个低环法术必须满足以下所有条件：
·法术环阶。该法术的环阶，必须比你拥有的最高环法术位低至少四环。举例来说，一名15级德鲁伊最高拥有八环法术位，因此可以选择最高四环的法术视为戏法。但如果他选择了三环法术视为戏法，那么即使他消耗掉了八环法术位，剩余七环法术位，也依然能够继续把这个三环法术视为戏法。
·持续时间。该法术的持续时间为立即，或不超过一轮。
·无法治疗。该法术不能起到恢复生命值的效果。</t>
  </si>
  <si>
    <t>魔法奥秘</t>
  </si>
  <si>
    <t>先决条件：施法或契约魔法
选择一个来自任意职业法术列表的法术，它的环阶必须比你当前能施展的最高环阶的法术低至少1环。将这个法术加入你的职业法术列表。你仍然需要为这个法术，正常占用已知或准备法术数量才能施展它。
你可以多次选择该专长。</t>
  </si>
  <si>
    <t>秘法之眼</t>
  </si>
  <si>
    <t>先决条件：施法或契约魔法，6级
你对魔力格外敏感，可以感知附近魔法效应的震荡。
·你的感知或智力+1，不能超过24。
·你始终保持着对魔法效应的侦测，如同“侦测魔法DetectMagic”。如果某个非法术的魔法效应来自于你的职业，那么当你看见它时，你会明确知道它的名字；如果某个奥术/神术/异能法术的环阶不超过你所能施展的最高环奥术/神术/异能，那么当你看见它时，你会明确知道它的名字。
举例来说，9级灵能师/5级牧师/1级法师，可以自动分辨出灵能师、牧师、法师的所有魔法性的主职业和子职业特性；以及5环异能、3环神术、1环奥术。</t>
  </si>
  <si>
    <t>祈求者</t>
  </si>
  <si>
    <t>先决条件：施法或契约魔法，6级
施展一个造成“火焰或光耀”/“寒冷或暗蚀”/“雷鸣或闪电”伤害的法术后，如果你当前持有的祈求者标记不足3个，你获得1个“炽焰”/“玄冰”/“雷电”祈求者标记，持续1分钟。你可以用一个附赠动作，移除你持有的所有祈求者标记。骰先攻时，移除你持有的所有祈求者标记。
你可以用一个动作或一个附赠动作，消耗三个祈求者标记和一个法术位，根据下表中标记的组合，施展出特定的法术。如果你消耗的法术位环阶比下表所列的更高，那么施展出的法术也会获得等量的升环施法效应（不能升至超过9环）。
你无需准备或已知该法术，该法术也不需要在你的职业法术列表。但是你不能通过此专长，施展基础环阶超出你拥有的最高环法术位/最高环玄奥秘法的法术。举例来说，13级法师通过此专长积累标记后，可以消耗5环法术位施展“旋风”，或是消耗7环法术位施展9环版本的“旋风”；但是不能消耗7环法术位施展“流星爆”。</t>
  </si>
  <si>
    <t>俺寻思能行</t>
  </si>
  <si>
    <t>先决条件：狂暴
在狂暴时，一股原初的威力环绕着你，使你能够以力量作为关键属性代替其它属性，进行体操、巧手、隐匿、表演、自然、察觉、驯兽、求生、游说检定。</t>
  </si>
  <si>
    <t>狂怒</t>
  </si>
  <si>
    <t>先决条件：狂暴
你可以在狂暴时进入狂怒，该次狂暴期间你可以用一个附赠动作发动一次近战武器攻击。
在完成一次短休或长休之前，你可以免费进入狂怒一次。从第二次进入狂怒起，你在狂怒结束后提升一级力竭等级。</t>
  </si>
  <si>
    <t>鲁莽投掷</t>
  </si>
  <si>
    <t>先决条件：鲁莽攻击
你的力量+1，不能超过24。
你可以用投掷的方式来发动鲁莽攻击。使用鲁莽攻击特性后，你以力量值作为攻击的关键属性，使用带有投掷属性的近战武器发动远程武器攻击，也会具有优势。</t>
  </si>
  <si>
    <t>神速力</t>
  </si>
  <si>
    <t>先决条件：快速移动
你在狂暴中的移动很难遭到压制。当你进入狂暴时，你可以移除正在影响你的一种移动类负面状态。你在狂暴持续时间内，也可以用一个附赠动作这么做。</t>
  </si>
  <si>
    <t>点穴</t>
  </si>
  <si>
    <t>先决条件：气
当你以一次近战武器攻击命中生物时，你可以消耗1点气，令目标进行敏捷豁免。豁免失败则陷入束缚状态，持续至你的下个回合结束；豁免成功则减速15尺，如果目标此时的速度为0则陷入束缚状态，持续至你的下个回合结束。</t>
  </si>
  <si>
    <t>乾坤一击</t>
  </si>
  <si>
    <t>先决条件：疾风连击
放弃了连续的攻势，你决定一击定胜负。消耗一个动作和一个附赠动作，你对一名生物发动一次近战武器攻击。若命中，直到你的下个回合开始，目标对于你的徒手打击造成的伤害具有易伤。若使用徒手打击发动乾坤一击，则目标对该次攻击的伤害也具有易伤。</t>
  </si>
  <si>
    <t>真气传脉</t>
  </si>
  <si>
    <t>先决条件：真气驻拳
你可以在长休或短休时使自己减少最多等同于熟练加值的气上限，将等量的气传入与你一同长休或短休的自愿生物体内，目标的敏捷和感知属性都需要达到13点。在同一时间内只能有一人身上储存了你的气。
这些气将被储存在其体内，体内储存了气的生物，也能如你使用气一般消耗这些气发动你目前具有的武僧主职业特性（例如疾风连击、坚强防御、飞檐走壁），气的豁免DC以你的数据为准。它不会获得那些不需要气就能发动的特性（例如武艺、无甲防御）。其每失去1点气，你便立即回复1点气上限，直至你的气上限恢复原本数值为止。</t>
  </si>
  <si>
    <t>军团式作战</t>
  </si>
  <si>
    <t>先决条件：精通额外攻击
你适应了军团式的作战方法，获得新的动作项。可以用以下两种方式来执行动作，视为攻击动作，但无法将其中若干次攻击替换为战技：
·箭如雨下。指定你的远程武器射程内你能看见的某点，并分别对该点周围10尺范围内任意数量的生物发动一次远程武器攻击。
·剑刃风暴。指定你的近战触及范围内任意数量的生物，或未被着装或携带的物件，并分别对其发动一次近战武器攻击。
军团式作战会对军团生物会造成数倍伤害，如同范围伤害效应。</t>
  </si>
  <si>
    <t>快速使用魔法装置</t>
  </si>
  <si>
    <t>先决条件：使用魔法装置
你可以用一个附赠动作，启动一件原本启动时间为1动作的魔法物品（法术卷轴除外）。
你能使用该特性的次数等于熟练加值，完成长休后恢复所有次数。</t>
  </si>
  <si>
    <t>升环使用魔法装置</t>
  </si>
  <si>
    <t>先决条件：使用魔法装置
当你启动一件法术类魔法物品并从中施展一个法术时，你可以消耗一枚法术位，让这个法术获得等同于你消耗的法术位环阶的升环施法效应；也可以不消耗法术位，让这个法术获得升1环的升环施法效应。
你能够不消耗法术位使用该特性的次数等于熟练加值，完成长休后恢复所有次数。</t>
  </si>
  <si>
    <t>魔法装置融合</t>
  </si>
  <si>
    <t>先决条件：使用魔法装置
与你同调的魔法物品，均视为你身体的一部分。在你死亡前，它们无法被移除，免疫所有伤害，也不会代替你承受伤害。
即使与你同调的魔法物品不是神器，它们在魔法失效的区域依然有效。不过，它们产生的法术还是会被压制。
当你从死亡中复活时，你正在着装或携带的、需要同调的魔法物品，自动与你完成同调。</t>
  </si>
  <si>
    <t>心灵学者</t>
  </si>
  <si>
    <t>先决条件：灵能师
你沿袭学术与自省的灵能通途，建立严格的学习计划、了解广博的异能知识。这意味着你潜在的已知异能要远远超过其它灵能师，但受限于温习知识所花费的时间，你无法在同一天内使用太多种不同的异能。
忽略灵能师职业表中的“已知环法”一列，你采用以下方式来施展灵能师法术：
所有符合环阶的灵能师法术，对你而言都是开放的，你可以施展它们。当你施展了一种灵能师法术后，将其加入你的“每日已知法术”中。在完成一次长休后，清空你的“每日已知法术”。
如果你的每日已知法术数量达到上限，那么你将不再能施展其它种类的灵能师法术。换句话说，你在几次战斗结束之后，可以使用的法术远不如刚起床时那么灵活。每日已知法术的数量上限详见下表。</t>
  </si>
  <si>
    <t>灵胜于肉</t>
  </si>
  <si>
    <t>先决条件：自我催眠
你的智力+1，不能超过24。
当你进行力量豁免或敏捷豁免时，你可以用智力调整值代替力量调整值或敏捷调整值。</t>
  </si>
  <si>
    <t>本命武器</t>
  </si>
  <si>
    <t>先决条件：魂铸武器
当你持握的武器受到伤害时，你可以代替它承受伤害，并且对于该次伤害具有抗性。
你使用魂铸武器特性时，不再需要花费附赠动作。</t>
  </si>
  <si>
    <t>心眼</t>
  </si>
  <si>
    <t>先决条件：探灵
你的视觉可以看见60尺内感知值小于或等于你的生物，即使它们隐形或对你躲藏。不过，如果它们对你处于全掩护或重度遮蔽下，心眼无法帮助你看见它们。</t>
  </si>
  <si>
    <t>奥法骑士</t>
  </si>
  <si>
    <t>先决条件：圣武士、游侠、灵能武士之一
你投身于魔法之神的教会，学会奥术魔法，成为奥法骑士。圣武士属于秘火骑士团，游侠属于射星骑士团，灵能武士属于魂剑骑士团。
当你获得此专长时，你可以将你的感知与智力属性交换，可以将感知豁免与智力豁免的熟练项交换。
你的圣武士/游侠/灵能武士法术，法术类型变为奥术，施法关键属性变为智力，专注豁免变为智力豁免，可以使用奥术法器作为施展这些法术的法器。与感知调整值相关联的圣武士/游侠/灵能武士职业特性，不会因此改为与智力调整值相关联。在考虑圣武士/游侠/灵能武士兼职的先决条件时，将“感知13”改为“智力13”。
你习得一个法师戏法，将它视为你的圣武士/游侠/灵能武士法术。从法师法术列表中选择1到5环的法术各一个（不能选择“获得魔宠”），加入你的圣武士/游侠/灵能武士法术列表，你需要正常已知或准备该法术才能使用。</t>
  </si>
  <si>
    <t>制造构装体</t>
  </si>
  <si>
    <t>先决条件：制造物品
你懂得如何往原材料中添加机械心智和指令集，让它变为一个构装体。你可以在一次长休期间，不去制造物品，而是花费时间制造一个构装生物。它对你友善，听从你的命令，与你先攻相同，在你的回合结束后行动。当它死亡后，它将化作无法回收素材的粉末并消散。
制造不同种类的构装体，需要你拥有不同的奇械师职业等级，耗费不同的素材和工艺费用，详见下表。</t>
  </si>
  <si>
    <t>奇械师注法</t>
  </si>
  <si>
    <t>先决条件：魔法工艺
你通过魔法工艺，将魔法赋予一件物品时，会让它额外具有以下效果：
·增强兵刃。如果该物品是近战武器，那么它视为魔法武器。
·连射注法。如果该物品是具有弹药属性的远程武器，那么它可以在每次攻击时自动用魔法生成弹药，无需花费一只手来提供弹药。
·膂力护甲。如果该物品是盔甲或盾牌，那么它的穿戴者可以在进行力量豁免之前，使用一个反应，让自己的该次力量豁免具有优势。
·思维砥饰。如果该物品是服饰，那么它的穿戴者在专注豁免中失败时，可以使用一个反应，将该次专注豁免改为成功。
·折叠装置。如果该物品是载具或攻城装置，你可以在其内部没有生物和其它物件时，花费1分钟将它折叠，让它的体型缩小一级。或是花费1分钟，将其体型还原。被折叠的载具或攻城装置无法正常使用，但便于携带和收纳。</t>
  </si>
  <si>
    <t>制造神器</t>
  </si>
  <si>
    <t>先决条件：掌握所有制造物品能力
你的智力+1，不能超过24。
你可以通过制造物品能力，来制造神器。你可以对被你制造的神器使用拆解萃取，来回收素材。这是除了每件神器描述中的摧毁方法以外，第二种摧毁神器的方法。</t>
  </si>
  <si>
    <t>千锤百炼</t>
  </si>
  <si>
    <t>先决条件：任意战技专长
你获得3枚卓越骰；第7级起，变为4枚；第14级起，变为5枚。
你可以多次选择该专长。</t>
  </si>
  <si>
    <t>出神入化</t>
  </si>
  <si>
    <t>先决条件：任意战技专长
选择一个流派（游龙、摘星、开山、混元、神机）和一种战技类型（打击技、强化技、应对技）。你使用重复使用会增加卓越骰消耗的、该流派、该类型的战技时，若你在一场战斗中重复使用它，不再增加卓越骰消耗。
你可以多次选择该专长，每次选择一个不同的流派或一种不同的战技类型。</t>
  </si>
  <si>
    <t>易筋洗髓</t>
  </si>
  <si>
    <t>先决条件：任意战技专长
你的所有卓越骰大小增加一级（d4→d6，d6→d8，d8→d10，d10→d12）。
你可以多次选择该专长。</t>
  </si>
  <si>
    <t>游龙流及门弟子</t>
  </si>
  <si>
    <t>先决条件：敏捷15
你成为了游龙流及门弟子，获得以下好处：
·获得2枚卓越骰。
·习得游龙流低级战技。
·可以用敏捷代替力量，来决定跳高和跳远的距离。</t>
  </si>
  <si>
    <t>游龙流登堂弟子</t>
  </si>
  <si>
    <t>先决条件：游龙流及门弟子，敏捷17
你成为了游龙流登堂弟子，获得以下好处：
·获得2枚卓越骰。
·习得游龙流中级战技。
·可以用敏捷代替力量，来进行运动检定。</t>
  </si>
  <si>
    <t>游龙流入室弟子</t>
  </si>
  <si>
    <t>先决条件：游龙流及门弟子，游龙流登堂弟子，敏捷19
你成为了游龙流入室弟子，获得以下好处：
·获得2枚卓越骰。
·习得游龙流高级战技。
·可以用敏捷代替力量，来决定对移动速度的影响。</t>
  </si>
  <si>
    <t>摘星流及门弟子</t>
  </si>
  <si>
    <t>先决条件：力量15或敏捷15
你成为了摘星流及门弟子，获得以下好处：
·获得2枚卓越骰。
·习得摘星流低级战技。
·着装盔甲不会使你的隐匿检定具有劣势。</t>
  </si>
  <si>
    <t>摘星流登堂弟子</t>
  </si>
  <si>
    <t>先决条件：摘星流及门弟子，力量17或敏捷17
你成为了摘星流登堂弟子，获得以下好处：
·获得2枚卓越骰。
·习得摘星流中级战技。
·一回合内以武器攻击命中相同目标三次或更多时（造成重击或偷袭伤害的攻击算作两次命中），直到你的下个回合开始，目标无法恢复生命值。生物不能得到治疗，物件不能得到修复。</t>
  </si>
  <si>
    <t>摘星流入室弟子</t>
  </si>
  <si>
    <t>先决条件：摘星流及门弟子，摘星流登堂弟子，力量19或敏捷19
你成为了摘星流入室弟子，获得以下好处：
·获得2枚卓越骰。
·习得摘星流高级战技。
·对你发动的借机攻击具有劣势。</t>
  </si>
  <si>
    <t>开山流及门弟子</t>
  </si>
  <si>
    <t>先决条件：力量15
你成为了开山流及门弟子，获得以下好处：
·获得2枚卓越骰。
·习得开山流低级战技。
·负重和推、拉、抬的重量翻倍。</t>
  </si>
  <si>
    <t>开山流登堂弟子</t>
  </si>
  <si>
    <t>先决条件：开山流及门弟子，力量17
你成为了开山流登堂弟子，获得以下好处：
·获得2枚卓越骰。
·习得开山流中级战技。
·以双手武器发动的攻击命中时，额外造成等同于力量调整值一半的伤害。</t>
  </si>
  <si>
    <t>开山流入室弟子</t>
  </si>
  <si>
    <t>先决条件：开山流及门弟子，开山流登堂弟子，力量19
你成为了开山流入室弟子，获得以下好处：
·获得2枚卓越骰。
·习得开山流高级战技。
·可以单手使用双手武器。同时持握两把双手武器时，可以双持武器战斗。</t>
  </si>
  <si>
    <t>混元流及门弟子</t>
  </si>
  <si>
    <t>先决条件：感知15
你成为了混元流及门弟子，获得以下好处：
·获得2枚卓越骰。
·习得混元流低级战技。
·收回和拔出武器无需任何动作。</t>
  </si>
  <si>
    <t>混元流登堂弟子</t>
  </si>
  <si>
    <t>先决条件：混元流及门弟子，感知17
你成为了混元流登堂弟子，获得以下好处：
·获得2枚卓越骰。
·习得混元流中级战技。
·可以用附赠动作执行“使用物件”动作。</t>
  </si>
  <si>
    <t>混元流入室弟子</t>
  </si>
  <si>
    <t>先决条件：混元流及门弟子，混元流登堂弟子，感知19
你成为了混元流入室弟子，获得以下好处：
·获得2枚卓越骰。
·习得混元流高级战技。
·忽略非魔法的高温、低温、黑暗、真空、泥泞、沙暴、雷雨、荆棘、水域、漩涡、强风等环境要素对自身的不利影响。</t>
  </si>
  <si>
    <t>神机流及门弟子</t>
  </si>
  <si>
    <t>先决条件：智力15
你成为了神机流及门弟子，获得以下好处：
·获得2枚卓越骰。
·习得神机流低级战技。
·获得一项智力技能的熟练项，已有熟练则改为专精。</t>
  </si>
  <si>
    <t>神机流登堂弟子</t>
  </si>
  <si>
    <t>先决条件：神机流及门弟子，智力17
你成为了神机流登堂弟子，获得以下好处：
·获得2枚卓越骰。
·习得神机流中级战技。
·辨识怪物时，可以同时辨识所有能看见的生物，对每种怪物分别进行辨识怪物检定。</t>
  </si>
  <si>
    <t>神机流入室弟子</t>
  </si>
  <si>
    <t>先决条件：神机流及门弟子，神机流登堂弟子，智力19
你成为了神机流入室弟子，获得以下好处：
·获得2枚卓越骰。
·习得神机流高级战技。
·获得60尺心灵感应能力。并且可以用预言效果，侦测并感知到60尺内的生物，你知道它们的位置和生物类型，但不会因此看见它们。</t>
  </si>
  <si>
    <t>散人流及门弟子</t>
  </si>
  <si>
    <t>你成为了散人流及门弟子，获得以下好处：
·如果你的力量值达到15，你习得开山流低级战技。
·如果你的敏捷值达到15，你习得游龙流低级战技。
·如果你的力量值或敏捷值达到15，你习得摘星流低级战技。
·如果你的感知值达到15，你习得混元流低级战技。
·如果你的智力值达到15，你习得神机流低级战技。</t>
  </si>
  <si>
    <t>散人流登堂弟子</t>
  </si>
  <si>
    <t>先决条件：散人流及门弟子
你成为了散人流登堂弟子，获得以下好处：
·如果你的力量值达到17，你习得开山流中级战技。
·如果你的敏捷值达到17，你习得游龙流中级战技。
·如果你的力量值或敏捷值达到17，你习得摘星流中级战技。
·如果你的感知值达到17，你习得混元流中级战技。
·如果你的智力值达到17，你习得神机流中级战技。</t>
  </si>
  <si>
    <t>散人流入室弟子</t>
  </si>
  <si>
    <t>先决条件：散人流及门弟子，散人流登堂弟子
你成为了散人流入室弟子，获得以下好处：
·如果你的力量值达到19，你习得开山流高级战技。
·如果你的敏捷值达到19，你习得游龙流高级战技。
·如果你的力量值或敏捷值达到19，你习得摘星流高级战技。
·如果你的感知值达到19，你习得混元流高级战技。
·如果你的智力值达到19，你习得神机流高级战技。</t>
  </si>
  <si>
    <t>魔力泉涌</t>
  </si>
  <si>
    <t>先决条件：任意超魔专长
你获得4点术法点；第7级起，变为5点；第14级起，变为6点。
你可以多次选择该专长。</t>
  </si>
  <si>
    <t>法术专攻</t>
  </si>
  <si>
    <t>先决条件：任意超魔专长
选择一个法术学派，你为该学派法术添加超魔效果时，所需要花费的术法点降低1点。如果你为同一个法术添加了多种超魔效果，最多能通过此专长让术法点消耗降低2点。
你可以多次选择该专长，每次选择一个不同的学派。</t>
  </si>
  <si>
    <t>简易超魔</t>
  </si>
  <si>
    <t>先决条件：任意超魔专长
选择一种你已知的超魔专长，你为法术添加该种超魔效果时，需要花费的术法点降低1点。
你可以多次选择该专长，每次选择一个不同的超魔专长。</t>
  </si>
  <si>
    <t>法术余力</t>
  </si>
  <si>
    <t>先决条件：任意超魔专长
你能使用前一个法术的残余能量来强化下一个法术。
如果你连续两回合施展相同的法术，并且上一回合施展的法术因为本专长以外的能力添加了超魔效果，那么你在这一回合施展的法术也可以添加上一个法术的超魔效果之一，无需消耗术法点。
举例来说，一名法师在第一回合施展了“精妙法术”“法术强效”的“闪电束”，那么第二回合施展的“闪电束”可以免费附加“精妙法术”和“法术强效”的效果之一。第三回合再施展“闪电束”不能免费附加超魔效果。</t>
  </si>
  <si>
    <t>先决条件：智力15或感知15
你获得2点术法点。
施展一个同时满足以下三个条件的法术时，你可以使用等于法术环阶的术法点（戏法消耗1点），并在法术施法距离内再指定另一个目标。
1、该法术原本仅指定了单一生物作为目标。
2、该法术的施法距离不为自身。
3、该法术在当前环阶不可能指定多个生物作为目标。（“灼热射线”和5级契术师的“魔能爆”可以用一个法术攻击多个敌人，因此不符合条件。）</t>
  </si>
  <si>
    <t>法术极效</t>
  </si>
  <si>
    <t>先决条件：智力15或感知15
你获得2点术法点。
施展一个未添加“法术强效”的伤害法术时，你可以使用4术法点，让该法术的伤害骰取满；施展一个添加了“法术强效”的伤害法术时，你可以使用5术法点，让该法术的伤害骰取满；施展一个治疗法术时，你可以使用2术法点，让该法术的治疗骰取满。</t>
  </si>
  <si>
    <t>法术强效</t>
  </si>
  <si>
    <t>你获得2点术法点。
施展一个伤害法术时，你可以使用2术法点，让该法术的伤害骰数量增加一半（向下取整）；施展一个治疗法术时，你可以使用1术法点，让该法术的治疗骰数量增加一半（向下取整）。</t>
  </si>
  <si>
    <t>法术延时</t>
  </si>
  <si>
    <t>你获得2点术法点。
施展一个持续时间至少为1分钟的法术时，你可以使用1术法点，让该法术的持续时间翻倍，但最终结果不能超过24小时。</t>
  </si>
  <si>
    <t>法术稳固</t>
  </si>
  <si>
    <t>你获得2点术法点。
施展一个持续时间不为“立即”的法术时，你可以使用1术法点，让该法术变得难以破解：
·其它生物对法术的解除检定具有劣势。
·你对该法术的专注豁免具有优势。</t>
  </si>
  <si>
    <t>法术追踪</t>
  </si>
  <si>
    <t>你获得2点术法点。
当你施展一个需要进行法术攻击检定的法术时，你可以使用1术法点，让法术更准确地击中敌人：
·你在这个法术中的法术攻击检定首次失手时，你可以重新进行一次攻击检定，必须采用重骰后的结果。
·如果你在这个法术中的每一次法术攻击检定都没有失手，那么你恢复等同于你使用这个超魔专长时所花费的术法点。</t>
  </si>
  <si>
    <t>法术瞬发</t>
  </si>
  <si>
    <t>先决条件：智力19或感知19
你获得2点术法点。
施展一个施法时间为1动作的、1环或更高环阶法术时，你可以使用6术法点，让该法术的施法时间变为1附赠动作；施展一个施法时间为1动作的戏法时，你可以使用3术法点，让该法术的施法时间变为1附赠动作。</t>
  </si>
  <si>
    <t>法术速发</t>
  </si>
  <si>
    <t>先决条件：法术瞬发，智力21或感知21
你获得2点术法点。
施展一个施法时间为1分钟/10分钟/1小时/超过1小时的法术时，你可以使用3/4/6/8术法点，让该法术的施法时间变为1动作。</t>
  </si>
  <si>
    <t>法术疾发</t>
  </si>
  <si>
    <t>先决条件：法术瞬发，智力23或感知23
你获得2点术法点。
当一个来自敌方的范围型效应包括了你，或一个来自敌方的目标型效应指定你作为目标之前，你可以使用2术法点，以1反应施展一个施法时间为1附赠动作的法术。
当一个来自敌方的范围型效应包括了一名你能看见的盟友，或一个来自敌方的目标型效应指定了一名你能看见的盟友作为目标之前，你可以使用3术法点，以1反应施展一个施法时间为1附赠动作的法术。</t>
  </si>
  <si>
    <t>精妙法术</t>
  </si>
  <si>
    <t>先决条件：智力17或感知17
你获得2点术法点。
施展一个具有言语或姿势成分的法术时，你可以使用1点/2点术法点，无视该法术言语和姿势成分中的一种/两种。</t>
  </si>
  <si>
    <t>法术塑形</t>
  </si>
  <si>
    <t>先决条件：智力17或感知17
你获得2点术法点。
施展一个产生范围效果的法术时，你可以使用若干点术法点，塑造出一或多个不被法术影响的区域。每让一个边长为5尺/10尺/15尺/20尺的立方区域不受影响，便需要1/2/3/4术法点。
如果该法术的施法距离为自身，添加法术塑形需要额外使用等同于法术环阶的术法点（戏法消耗1点）。</t>
  </si>
  <si>
    <t>法术扩展</t>
  </si>
  <si>
    <t>先决条件：智力17或感知17
你获得2点术法点。
施展一个产生范围效果的法术时，你可以使用2术法点，将该法术的作用范围在每一个方向的尺寸增加，最多增加到原来的两倍。一些示例解释说明如下：
·“火球术”由半径20尺，改为半径最大40尺。
·“闪电束”由长100尺、宽5尺，改为最大长200尺、宽10尺。
·“魂灵环绕”由半径10尺，改为半径最大20尺。
·“力场墙”作为球形和半球形时，改为半径最大20尺；作为板块时，改为每一块的最大边长20尺。</t>
  </si>
  <si>
    <t>隐形法术</t>
  </si>
  <si>
    <t>先决条件：智力19或感知19
你获得2点术法点。
施展一个法术时，你可以使用1术法点，让该法术完成后产生的效果隐形，不能被肉眼看见。一些特例解释说明如下：
·为召唤或创造生物的法术添加隐形法术，不会让生物隐形，而是具有模糊的线条轮廓，且不再阻拦视线。依靠常规视觉观察该目标的生物，在目标5尺外对目标发动的攻击具有劣势。
·为召唤或创造物件和魔法造物的法术添加隐形法术，会让它们变得隐形且透明，不再阻拦视线。
·为改变生物或物件形态的法术添加隐形法术，会让目标看起来和之前没有区别，但是它的实际体型和其它游戏数据，已经发生了改变。
·对“传送术”“祝福术”“支配人类”“短讯术”等原本就不产生明显视觉效应的法术，添加隐形法术不会产生任何效果。</t>
  </si>
  <si>
    <t>远程法术</t>
  </si>
  <si>
    <t>你获得2点术法点。
施展一个施法距离不为自身或触及的法术时，你可以使用1术法点使该法术的施法距离翻倍；施展一个施法距离为触及的法术时，你可以使用1术法点将法术的施法距离改为30尺。</t>
  </si>
  <si>
    <t>元素导师</t>
  </si>
  <si>
    <t>你获得2点术法点。
施展一个能够造成强酸、冷冻、火焰、闪电、毒素或雷鸣伤害的法术时，你可以使用1术法点，让该法术无视对应的伤害抗性，并将每粒强酸、冷冻、火焰、闪电、毒素或雷鸣伤害骰所有1或2的骰值视为3。</t>
  </si>
  <si>
    <t>能量替代</t>
  </si>
  <si>
    <t>先决条件：智力15或感知15
你获得2点术法点。
施展一个能够造成以下列表中类型伤害的法术时，你可以使用1术法点将其改为列表中的另一种伤害类型：强酸、冷冻、火焰、闪电、毒素或雷鸣。</t>
  </si>
  <si>
    <t>能量混合</t>
  </si>
  <si>
    <t>先决条件：能量替代，智力19或感知19
你获得2点术法点。
当你施展一个造成伤害的法术时，你可以使用1术法点，从“强酸、冷冻、火焰、闪电、毒素、雷鸣”中选择一种伤害类型。此法术的伤害，会同时视为它原本的伤害类型，以及你选择的这种伤害类型。
在考虑能够触发的特效时，该法术能够触发这两种伤害类型的效果；在考虑目标受到的伤害时，该法术视为会让目标承受更多伤害的一种伤害类型。</t>
  </si>
  <si>
    <t>众雷之子</t>
  </si>
  <si>
    <t>先决条件：能量替代，智力17或感知17
你获得2点术法点。
施展造成闪电或雷鸣伤害的法术时，你可以使用1术法点让该法术变为“众雷之术”。生物每次受到该法术造成的闪电或雷鸣伤害，需要额外进行一次体质豁免，豁免失败则陷入震慑并倒地，震慑持续至你的下个回合开始。
施展众雷之术后，你的身体将泛起一阵倦意，使你不能移动也无法执行动作，并持续至你的下一回合结束。</t>
  </si>
  <si>
    <t>冰封诅咒</t>
  </si>
  <si>
    <t>先决条件：能量替代，智力17或感知17
你获得2点术法点。
施展造成冷冻伤害的法术时，你可以使用1术法点让该法术变为“冰封之术”。冰封之术每有一枚冷冻伤害骰为满值，则受到伤害的生物减速10尺，持续到你的下个回合开始。
因冰封之术而减速的生物每以一次攻击命中了你，会被寒冷魔法诅咒，它正在承受的移动类负面状态的持续时间增加一轮（如果该状态原本会在某一轮的先攻X时终止，那么推迟到下一轮的先攻X时终止）。</t>
  </si>
  <si>
    <t>深陷毒沼</t>
  </si>
  <si>
    <t>先决条件：能量替代，智力17或感知17
你获得2点术法点。
施展造成强酸或毒素伤害的法术时，你可以使用2术法点让该法术变为“毒沼之术”。生物每次受到该法术造成的强酸或毒素伤害，它周围5尺内的固体和液体方格将化为一片泥泞的沼泽，视为困难地形，持续1分钟。
接触沼泽的生物处于缚地状态，并且AC承受-2减值。</t>
  </si>
  <si>
    <t>炽烈爆发</t>
  </si>
  <si>
    <t>先决条件：能量替代，智力17或感知17
你获得2点术法点。
施展造成火焰伤害的法术时，你可以使用2术法点让该法术变为“炽烈之术”。
·如果炽烈之术是目标型法术，那么生物每次受到该法术造成的火焰伤害，需要进行力量豁免，豁免失败则朝着远离你的方向推开10尺，并额外受到1d6火焰伤害。
·如果炽烈之术是范围型法术，那么生物每次受到该法术造成的火焰伤害，需要进行力量豁免，豁免失败则被推开到法术作用范围以外、最近的未被占据的空间。每因此被推开10尺，额外受到1d6火焰伤害。</t>
  </si>
  <si>
    <t>增强召唤</t>
  </si>
  <si>
    <t>你获得2点术法点。
施展召唤或创造生物的法术时，你可以使用1/2/3术法点让召唤物的战斗力得到增强。所有由该法术召唤或创造出的生物，获得以下增益：
·发动的武器攻击视为魔法武器攻击。
·发动攻击时，攻击检定和伤害掷骰获得1/2/3点加值。
·每有一个生命骰，生命上限便增加1/2/3点。</t>
  </si>
  <si>
    <t>尸体工艺</t>
  </si>
  <si>
    <t>你获得2点术法点。
与其它超魔专长不同，尸体工艺不仅需要消耗术法点，还需要消耗生物的尸体。施展召唤或创造不死生物的法术时，你可以使用N术法点，并选择触及范围内的一具尸体（该尸体生前的等级不能超过N级），用尸体生前的属性值、熟练加值、体型、天生护甲、天生武器、移动方式来代替你所召唤或创造的一名不死生物的对应数据。如果你在一次施法中召唤或创造了多名不死生物，则需要分别消耗术法点和尸体。</t>
  </si>
  <si>
    <t>真实幻术</t>
  </si>
  <si>
    <t>先决条件：智力19或感知19
你获得2点术法点。
你相信物质世界的本质是一团难以名状、不可直视的混沌，魔法幻象为它蒙上一层面纱以保护凡人的心智。那些看破了幻象的生物，会因为窥见深渊而遭受严重的精神损害。
施展幻术系法术时，你可以使用1术法点提高幻术的真实度。
拥有真实视觉的生物即使知晓该幻术是虚假的，也无法看穿它或点破它。依然会被它阻挡视线，依然可能与它发生物理互动。拥有真实视觉的生物对该幻术直接造成的、或是通过召唤和呼唤而来的生物造成的心灵伤害具有易伤；生物即使成功通过了该幻术的豁免，也会完整承受它所造成的心灵伤害。</t>
  </si>
  <si>
    <t>法术储存</t>
  </si>
  <si>
    <t>先决条件：智力19或感知19
你获得2点术法点。
施展一个满足下列所有条件的法术时，你可以使用1术法点，令其能量暂时不触发，而是储存在你触及范围内的一把近战武器或一发弹药中，持续1分钟。
·施法距离为触及。
·仅能影响单一目标。
·无需专注。
当这把近战武器或这发弹药首次命中一个目标时，目标会受到武器攻击的正常效果，以及该法术的所有效果。如果该法术需要攻击命中，那么无需掷骰，视为与武器攻击的攻击检定结果相等（若武器攻击造成重击，法术攻击也会随之重击）。如果该法术需要豁免，那么正常豁免。
施展一个满足下列所有条件的法术时，如果你有眼睛，你可以用1术法点，令其能量暂时不触发，而是储存在你的一只眼睛中，持续1分钟。
1、施法距离不为自身和触及。
2、仅能影响单一目标（如果该法术原本可能指定多个目标，例如“灼热射线”和5级契术师施展的“魔能爆”，现在也只会影响一个目标）。
3、无需专注。
当你的这只眼睛首次看见施法距离内的一个目标时，目标会受到法术的正常效果，正常进行攻击检定和豁免。</t>
  </si>
  <si>
    <t>双重法术</t>
  </si>
  <si>
    <t>先决条件：智力17或感知17
你获得2点术法点。
施展一个法术时，你可以使用6术法点，将这个法术的效果释放两次。如果该法术是目标型法术，那么两次释放的目标必须相同；如果该法术是范围型法术，那么两次释放的范围效应中心必须相同。
如果该法术附加了其它超魔效果，你需要为这些超魔效果的第二次释放，也消耗一倍的术法点。</t>
  </si>
  <si>
    <t>赝造灵光</t>
  </si>
  <si>
    <t>你获得2点术法点。
施展一个法术时，你可以使用1术法点，让该法术显露出与实际不符的学派灵光，或是不显露魔法灵光。此外，该法术的辨识法术DC增加5点。</t>
  </si>
  <si>
    <t>法术跨域</t>
  </si>
  <si>
    <t>先决条件：智力17或感知17
你获得2点术法点。
当你处于一个与物质位面重合的位面施展法术时，你可以使用1术法点，让该法术转而影响物质位面；当你处于物质位面施展法术时，你可以使用1术法点，让该法术转而影响与物质位面重合的位面。
与物质位面重合的位面，包括妖精荒野、堕影冥界、以太位面、入口位于物质位面中的半位面。这些位面之间的地点位置未必完全一一准确对应，使得添加了法术跨域的法术的施法距离和作用范围并不稳定。</t>
  </si>
  <si>
    <t>重振精神</t>
  </si>
  <si>
    <t>你获得2点术法点。
施展一个可以终止负面状态或其它削弱效果的法术时，你可以使用1术法点，鼓舞所有被该法术终止了至少一种负面状态或其它削弱效果的生物。直到你的下个回合结束，这些生物的攻击检定、属性检定、豁免检定具有优势。</t>
  </si>
  <si>
    <t>及时救难</t>
  </si>
  <si>
    <t>你获得2点术法点。
当一个生物在某种负面状态或其它削弱效果下开始自己的回合时，你可以使用2术法点，将一个能够终止该种负面状态或其它削弱效果的法术的施法时间变为“1反应”，然后对这名生物施展该法术。</t>
  </si>
  <si>
    <t>盈余治疗</t>
  </si>
  <si>
    <t>你获得2点术法点。
施展一个治疗法术时，你可以使用1术法点，让该法术溢出的治疗量转化为等量的临时生命值。</t>
  </si>
  <si>
    <t>封锁记忆</t>
  </si>
  <si>
    <t>你获得2点术法点。
施展一个强迫生物进行体质、智力、感知豁免的法术时，你可以使用1术法点让该法术变为“失忆之术”。对抗失忆之术的豁免失败的生物，在24小时内被诅咒，忘记如何使用自己最高一级的职业特性。这种诅咒可以叠加，每叠加一次，忘记的职业特性增加一级。
举例来说，18级法师米莉雅中了6次失忆之术，那么她只能如同一个12级法师那样施展基础环阶不超过6环的法术，但法术位没有损失，仍然可以用更高环阶的法术位来升环施法。她也忘记法师的14级子职特性、16级法术精通、18级招牌法术能力。</t>
  </si>
  <si>
    <t>越障法术</t>
  </si>
  <si>
    <t>先决条件：智力19或感知19
你获得2点术法点。
你使用2术法点，尝试让法术的效果线可以穿过障碍物。如果你施展的是神术，则进行一次宗教检定；如果你施展的是奥术，则进行一次奥秘检定，如果你施展的是异能，则进行一次灵能检定。检定成功后，该法术可以越过障碍物生效。越障法术的检定难度详见下表。
越障难度
障碍物材质
技能检定DC
基础
法术环阶+路径上所有障碍物中的最高AC
布、纸、木、玻璃
每1尺厚度额外让DC+1（不足1尺按1尺计算）
石、骨、大部分金属
每1尺厚度额外让DC+5（不足1尺按1尺计算）
铅、秘银、魔法力场
每1寸厚度额外让DC+5（不足1寸按1寸计算）</t>
  </si>
  <si>
    <t>巫婆诅咒</t>
  </si>
  <si>
    <t>先决条件：智力19或感知19
你获得2点术法点。
施展一个持续时间超过1分钟、对生物造成负面影响、或是让受术者变形为一种具有缺陷的形态（生物变为物件、或变为一个等级不足自身一半的生物，是一种具有缺陷的形态）的法术时，你可以使用3术法点，让该法术变为巫婆诅咒，具有以下效果：
·你施展巫婆诅咒时，必须为它设定一种逻辑上有可能达成的破解条件。当破解条件达成时，巫婆诅咒终止。下文列出了一些常见的破解条件，你也可以设定其它破解条件，但它们的达成难度不应该超过下文所列举的。
·巫婆诅咒持续1分钟后，你无需再为其维持专注，它的持续时间变为“直到被解除”。
·巫婆诅咒持续1分钟后，“解除魔法”或类似效果无法解除巫婆诅咒；“移除诅咒”可以揭露出巫婆诅咒的破解条件，但也无法移除它；唯有“祈愿术”或更强的效应可以忽略破解条件，直接解除巫婆诅咒。
·受术者在每个月内首次被施展“移除诅咒”时，诅咒被压制8小时。
·受术者死亡或处于魔法失效的区域时，巫婆诅咒暂时被压制，当它复活或处于魔法未失效的区域时，诅咒重现。</t>
  </si>
  <si>
    <t>曲咒射术</t>
  </si>
  <si>
    <t>先决条件：智力21或感知21
你获得2点术法点。
施展一个符合下列所有条件的法术时，你可以使用3术法点，将这个法术变为一道射线法术：
1、施法距离不为触及，且施法距离至少为10尺。
2、能够影响生物，且受影响的生物可以进行豁免来对抗此法术。
3、不需要进行远程法术攻击。
4、不会在空间内创造出持续时间不为立即的、有实体的魔法效应。
这道射线法术的目标变为“一个你能看见的生物”。你对施法距离内一个你能看见的生物，发动一次远程法术攻击，若命中，则该生物受到法术的影响。
对于可以进行体质、智力、感知豁免的法术，即使你的射线命中，目标生物依然能够进行一次承受-5减值的豁免；对于可以进行力量、敏捷豁免的法术，如果你的射线命中，目标生物无法进行豁免。</t>
  </si>
  <si>
    <t>悬空法术</t>
  </si>
  <si>
    <t>你获得2点术法点。
施展一个法术目标点必须在地面上或有支撑的位置上的法术时，你可以使用1术法点，让法术目标点变为空间内的一点，无需支撑，悬空生效。
由该法术创造的物件和魔法力量造物，在法术持续时间内会忽略重力。如果该法术的区域范围是方形/圆形/半球形，将它扩展为正方体/球形/球形，边长或直径不变。</t>
  </si>
  <si>
    <t>蓝银缠绕</t>
  </si>
  <si>
    <t>你获得2点术法点。
你的力量（威吓）检定具有劣势。
施展一个有关植物的法术时，你可以使用1/2术法点，让这些植物长出蓝色和银色交错的花纹，并具有下列增幅效应中的一种/两种。
·生物在植物所在区域内移动时，每移动1尺便要额外花费1尺的移动力。
·生物对抗该法术的豁免检定和属性检定，需要承受等同于你的熟练加值一半的减值。
·植物发动的攻击检定获得等同于你的熟练加值一半的加值。与魔法武器的攻击骰加值不叠加，取较高者生效。</t>
  </si>
  <si>
    <t>暂效法术</t>
  </si>
  <si>
    <t>先决条件：智力19或感知19
你获得2点术法点。
施展一个“持续时间至少为1分钟，但不是直到被解除”的法术时，你可以使用2术法点，让这个法术的持续时间缩短为原本的十分之一，且无需专注。</t>
  </si>
  <si>
    <t>即效法术</t>
  </si>
  <si>
    <t>先决条件：暂效法术，智力23或感知23
你获得2点术法点。
施展一个“无需专注，持续时间至少为1分钟，但不是直到被解除”的法术时，你可以使用3术法点，让这个法术的持续时间变为“立即”，法术效果会在其原本持续时间的十分之一之后消失。</t>
  </si>
  <si>
    <t>强劲法术</t>
  </si>
  <si>
    <t>你获得2点术法点。
施展一个强迫生物进行豁免的法术时，你可以使用3/5术法点，让受法术影响的其中一个生物/所有生物对抗该法术的豁免具有劣势。若该法术允许生物在后续的回合重复进行豁免以摆脱法术的效果，则改为使用2/4术法点。</t>
  </si>
  <si>
    <t>拆迁法术</t>
  </si>
  <si>
    <t>你获得2点术法点。
施展一个可以对物件造成伤害的法术时，你可以使用1术法点，让该法术获得以下效果：
·如果该法术原本不能对被着装或携带的物件造成伤害，那么它现在可以对被着装或携带的物件造成伤害。如果该法术允许豁免，那么物件豁免成功则伤害减半（使用其携带者的豁免加值）。
·如果你正在经历的冒险面向全年龄受众，那么类人生物和巨人穿戴的最基本的普通服装免疫拆迁法术。
·物件对该法术造成的伤害具有易伤。</t>
  </si>
  <si>
    <t>法术恒久</t>
  </si>
  <si>
    <t>你获得2点术法点。
施展一个“连续重复使用该法术多次后，法术持续时间会变为直到被解除”的法术时，你可以使用2术法点，让该法术在使用一次之后，法术持续时间就会变回直到被解除。
在城市基建时，施法者们常用此超魔专长，快速建设“传送法阵”“禁制术”“神庙术”等区域。</t>
  </si>
  <si>
    <t>龙锻</t>
  </si>
  <si>
    <t>先决条件：狗头人，只能在1级时选择
你是龙锻狗头人，你的种族与龙的内在联系的证据。你的类型是龙类而非类人生物，你的鳞染着与你的龙类遗传匹配的颜色。</t>
  </si>
  <si>
    <t>龙族天生武器</t>
  </si>
  <si>
    <t>先决条件：真龙，只能在1级时选择
你展露鳞爪，获得下列天生武器，可以用于发动徒手打击。
·啃咬。近战武器攻击，具有灵巧属性，造成1d6点穿刺伤害。
·爪击。近战武器攻击，具有轻型属性，可用于双持武器战斗，造成1d6点挥砍伤害。
·尾击。近战武器攻击，具有触及属性，造成1d6点钝击伤害。</t>
  </si>
  <si>
    <t>龙翼</t>
  </si>
  <si>
    <t>先决条件：真龙，只能在1级时选择
你长出龙翼，获得等同于步行速度一半的飞行速度。为了使用这个飞行速度，你不能着装中甲或重甲。</t>
  </si>
  <si>
    <t>青年龙</t>
  </si>
  <si>
    <t>先决条件：真龙，只能在6级时选择
雏龙今年六岁啦！变成了青年龙，获得以下好处：
·体型变为大型。
·获得等同于步行速度的飞行速度。为了使用这个飞行速度，你不能着装中甲或重甲。
·啃咬命中时，额外造成1d4点龙种伤害。</t>
  </si>
  <si>
    <t>龙族快速恢复</t>
  </si>
  <si>
    <t>先决条件：真龙，只能在12级时选择
你可以在短时间内多次使用真龙的天赋。
你的吐息武器/心灵回响/形体变换，变为“充能5~6”，而不是在完成短休或长休时恢复。</t>
  </si>
  <si>
    <t>控制喷气口</t>
  </si>
  <si>
    <t>先决条件：眼魔，只能在1级时选择
你更加熟练地掌握了喷气口的使用方法，你的基础飞行速度提高为20尺，并且可以悬浮。</t>
  </si>
  <si>
    <t>双重眼波射线</t>
  </si>
  <si>
    <t>先决条件：眼魔，只能在12级时选择
使用眼波射线时，你可以同时指定两个不同的生物，分别掷骰以决定眼波射线对它们的随机效果。</t>
  </si>
  <si>
    <t>慷慨吉运</t>
  </si>
  <si>
    <t>先决条件：半身人
你的民族有着非同寻常的好运，且你学过如何在看到同伴难堪之时将其秘密地借给他们。你也不知道你是怎么做到的。你只是想想，那就实现了，这是命运的赠礼！
如果一个30尺内你能看见的友方生物（包括你）在攻击检定，属性检定或者豁免检定的d20中骰出了1，你可以用一个反应让目标重骰，目标必须接受重骰后的结果。</t>
  </si>
  <si>
    <t>高等卓尔魔法</t>
  </si>
  <si>
    <t>先决条件：卓尔精灵，6级
你学到了更多种类的黑暗精灵魔法。你学会“侦测魔法”并可以随意施展，而不会消耗法术位。你学会“解除魔法”和“浮空术”，并可以释放每种一次不消耗法术位。直到你完成一次长休你才可以再次免费施展。智力是你施放这三个法术的施法关键属性。</t>
  </si>
  <si>
    <t>矮人之坚毅</t>
  </si>
  <si>
    <t>先决条件：矮人
你的血脉中流淌着矮人英雄的血液。你获得以下好处：
·体质+1，不能超过24。
·当你在战斗中使用回避动作时，你可以消耗一颗生命骰来治愈自己。扔一颗骰子，加上你的体质调整值，恢复那么多的血（最少为1）。
·你的濒死豁免具有优势。</t>
  </si>
  <si>
    <t>精灵之准</t>
  </si>
  <si>
    <t>先决条件：精灵
精灵的准确度是一种传说，尤其以弓箭手和施法者为甚，你在依赖精确度而非蛮力的攻击检定上有着奇妙的准头，你获得以下好处：
·从敏捷，智力，感知中选择一项属性+1，不能超过24。
·当你以所选属性进行的攻击骰上有优势的时候，你可以重扔其中一个骰子。</t>
  </si>
  <si>
    <t>逐渐消失</t>
  </si>
  <si>
    <t>先决条件：侏儒
你的族人在幻术系魔法的技巧上很有天赋。你学过一种在你受到伤害时逐渐隐去的魔法技巧。你获得以下好处。
·智力+1，不能超过24。
·当你受到伤害，你可以用一个反应来用魔法把自己变成隐形，直到你发动攻击、造成伤害、使别人进行豁免检定、或是你的下个回合结束。你只能使用一次这个能力，直到你进行一次短休或者长休。</t>
  </si>
  <si>
    <t>弗莱格索斯之焰</t>
  </si>
  <si>
    <t>先决条件：提夫林
你学会了召唤地狱火来听从你的指挥，你获得以下好处：
·智力或者感知+1，不能超过24。
·当你施展造成火焰伤害的法术时，每个火焰伤害骰额外造成1点伤害。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</si>
  <si>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邪魔体质</t>
  </si>
  <si>
    <t>先决条件：邪魔
邪魔之血支撑着你，解锁一些类似恶魔领主、魔鬼大公、尤格罗斯始祖拥有的韧性。你获得以下好处：
·体质+1，不能超过24。
·你获得寒冷伤害抗性与毒素伤害抗性。你对抗毒素的豁免具有优势。</t>
  </si>
  <si>
    <t>兽人式狂怒</t>
  </si>
  <si>
    <t>先决条件：兽人
你的狂怒爆发时不知疲倦，你获得以下好处：
·力量或者体质+1，不能超过24。
·当你用人造武器发动一次攻击并命中时，你可以再扔一个武器伤害骰，加入额外伤害中。你只能使用该特性一次，直到你进行一次短休或者长休。
·在你使用坚韧不屈特性之后，你可以立即以反应进行一次武器攻击。</t>
  </si>
  <si>
    <t>低身之机敏</t>
  </si>
  <si>
    <t>先决条件：矮人或者小体型种族
你有这在你族群中不寻常的机敏，你获得以下好处：
·力量或者敏捷+1，不能超过24。
·你的速度提升5尺
·你获得力量（运动）或者敏捷（体操）之一的熟练。
·你在你进行的脱离擒抱的力量（运动）或者敏捷（体操）的检定上获得优势。</t>
  </si>
  <si>
    <t>玄武</t>
  </si>
  <si>
    <t>先决条件：龟人
你的“龟人护甲”提供的AC变为14+熟练加值+体质调整值。</t>
  </si>
  <si>
    <t>先决条件：构装生物
你使用世界上最坚固、最耐腐蚀的金属塑造了你的身体，具有以下效果：
·你免疫重击。
·你对强酸伤害具有抗性。
·你每次受到的钝击、挥砍、穿刺伤害减少2点。</t>
  </si>
  <si>
    <t>先决条件：人马
你无需骑乘其它坐骑，也能获得一些骑乘动作项：
人马式骑乘冲刺
如果你在一个回合内以直线移动了至少等同于基础速度的距离，你在移动结束时可以用攻击动作发动一次近战攻击。若命中，目标对该次攻击造成的穿刺伤害具有易伤。
即使你拥有在一个攻击动作内可以发动多次攻击的能力，也只能在骑乘冲刺时发动一次攻击。
人马式激励坐骑
以一个附赠动作，你让自身在当前回合内进行的力量（运动）和敏捷（体操）检定具有优势。</t>
  </si>
  <si>
    <t>光之符文</t>
  </si>
  <si>
    <t>先决条件：天界生物，至少两项属性11
你的头顶出现了灵体的魔法光环，发出半径5尺的昏暗照明，光环中隐隐还有神秘的字符闪烁。你从“威力”“优雅”“根源”“魔法”“意志”中选择两个符文，每个符文会为你提供一些好处，而两个符文的组合会提供另一些好处。只有在某项属性值至少为11时，你才能选择对应的符文。</t>
  </si>
  <si>
    <t>紧急兽化</t>
  </si>
  <si>
    <t>先决条件：化兽者
你可以在自己的回合内用意念（无需任何动作）化形，不再花费附赠动作。</t>
  </si>
  <si>
    <t>否决神力</t>
  </si>
  <si>
    <t>先决条件：不死生物
你对抗引导神力的豁免具有优势。即使你失败于“引导神力：驱散不死生物”的豁免，也不会因“摧毁不死生物”而被摧毁。</t>
  </si>
  <si>
    <t>警戒龙纹</t>
  </si>
  <si>
    <t>先决条件：矮人，出生于艾伯伦，只能在1级时选择该专长
警戒龙纹能够帮助持有者保护有价值的物品。矮人能够使用龙纹来驱使神秘的力量保护并封闭门户。它能还让持有者通过直觉理解锁和用于保护及密封的机关。你显现了警戒龙纹，获得以下好处：
·守卫直觉。当你进行智力（调查）检定或使用盗贼工具进行属性检定时，你能掷一个d4，并把结果加到属性检定的结果上。
·保护与封锁。你能够施展“警报术”和“法师护甲”法术，从3级起，你还能施展“秘法锁”。一旦你使用此特性施展了前述法术，你将无法再次使用此特性，直到完成一次长休。智力是你在施展这些法术时的关键属性，你无需为这些法术提供材料成分。
·龙纹法术。如果你拥有施法或契约魔法职业能力，警戒龙纹法术表中的法术将加入你的法术列表中。如果你的职业法术列表中已经包含了警戒龙纹法术表中的某个法术，那么此后你始终视为准备或已知着该法术，无需占据准备或已知法术数量。
警戒龙纹法术
法术环阶
法术
一环
警报术、艾嘉西斯之铠
二环
秘法锁、敲击术
三环
守卫刻文、防护法阵
四环
李欧蒙秘藏箱、魔邓肯忠犬
五环
防活物护罩</t>
  </si>
  <si>
    <t>侦测龙纹</t>
  </si>
  <si>
    <t>先决条件：精灵，出生于艾伯伦，只能在1级时选择该专长
侦测龙纹是调查员梦寐以求的东西。它会提升观察能力和直觉，让持有者找出别人可能会忽略的潜在联系和线索。通过积极利用它的力量，持有者可以侦测毒素和研究魔法的能量。你显现了侦测龙纹，获得以下好处：
·推理直觉。当你进行智力（调查）或感知（洞悉）检定时，你能够掷一个d4，将结果加到你的属性检定结果中。
·魔法侦测。你能够施展“侦测魔法”和“侦测毒素与疾病”法术，从3级起，你还能施展“识破隐形”。一旦你使用此特性施展了前述法术，你将无法再次使用此特性，直到完成一次长休。智力是你在施展这些法术时的关键属性，你无需为这些法术提供材料成分。
·龙纹法术。如果你拥有施法或契约魔法职业能力，侦测龙纹法术表中的法术将加入你的法术列表中。如果你的职业法术列表中已经包含了侦测龙纹法术表中的某个法术，那么此后你始终视为准备或已知着该法术，无需占据准备或已知法术数量。
侦测龙纹法术
法术环阶
法术
一环
侦测善恶、侦测毒素与疾病
二环
侦测思想、寻找陷阱
三环
鹰眼术、回避侦测
四环
秘法眼、预言术
五环
通晓传奇</t>
  </si>
  <si>
    <t>暴风龙纹</t>
  </si>
  <si>
    <t>先决条件：精灵，出生于艾伯伦，只能在1级时选择该专长
风和水宠爱着持有暴风龙纹的精灵，其中一些精灵甚至能呼唤暴风。你显现了暴风龙纹，获得以下好处：
·驭风者直觉。当你进行敏捷（体操）检定或任何使用领航工具的属性检定时，你能掷一个d4，并把结果加到属性检定的结果上。
·暴风之祝福。你对闪电伤害有抗性。
·逆风行事。你能够施展“舞风”戏法。从第3级起，你能够通过此特性施展“造风术”。一旦你使用此特性施展了前述法术，你将无法再次使用此特性，直到完成一次长休。感知是你在施展这些法术时的关键属性。
·龙纹法术。如果你拥有施法或契约魔法职业能力，暴风龙纹法术表中的法术将加入你的法术列表中。如果你的职业法术列表中已经包含了暴风龙纹法术表中的某个法术，那么此后你始终视为准备或已知着该法术，无需占据准备或已知法术数量。
暴风龙纹法术
法术环阶
法术
一环
羽落术、云雾术
二环
造风术、浮空术
三环
雪雨暴、风墙术
四环
召唤次级元素生物、操控水体
五环
召唤元素生物</t>
  </si>
  <si>
    <t>医疗龙纹</t>
  </si>
  <si>
    <t>先决条件：半身人，出生于艾伯伦，只能在1级时选择该专长
医疗龙纹持有者只需轻轻接触就能拯救生命，同时恢复活力和生存的意志。龙纹也能作用于非魔法的医疗，帮助持有者察觉疾病和痛苦的源头，以及找出最好的解决方案。当配合龙晶法器使用时，龙纹甚至能够将死者从杜鲁尔的深处拉回现世。你显现了医疗龙纹，获得以下好处：
·医疗直觉。当你进行感知（医疗）检定时，你能掷一个d4，并把结果加到属性检定的结果上。
·医疗之触。你能够通过此特性施展“疗伤术”，从第3级起，你还能施展“次级复原术”。一旦你使用此特性施展了前述法术，你将无法再次使用此特性，直到完成一次长休。感知是你在施展这些法术时的关键属性。
·龙纹法术。如果你拥有施法或契约魔法职业能力，医疗龙纹法术表中的法术将加入你的法术列表中。如果你的职业法术列表中已经包含了医疗龙纹法术表中的某个法术，那么此后你始终视为准备或已知着该法术，无需占据准备或已知法术数量。
医疗龙纹法术
法术环阶
法术
一环
疗伤术、虚假生命
二环
次级复原术、治疗祷言
三环
活力灵光、群体治愈真言
四环
净化灵光、生命灵光
五环
高等复原术</t>
  </si>
  <si>
    <t>招待龙纹</t>
  </si>
  <si>
    <t>先决条件：半身人，出生于艾伯伦，只能在1级时选择该专长
拥有招待龙纹的半身人虽然不一定富有，但肯定会有很多朋友。这个龙纹的魔力使持有者能够保持一个地方的干净，以及加热、冷却和调味食物。同时它也能帮助持有者与他人建立联系。你显现了招待龙纹，获得以下好处：
·永远热情好客。当你进行感知（游说）检定或者使用酿酒工具或厨师工具进行属性检定时，你能掷一个d4，并把结果加到属性检定的结果上。
·旅店老板的魔法。你习得戏法“魔法伎俩”。同时，你能够通过此特性施展“净化食粮”和“隐形仆役”。一旦你使用此特性施展了前述法术，你将无法再次使用此特性，直到完成一次长休。感知是你在施展这些法术时的关键属性。
·龙纹法术。如果你拥有施法或契约魔法职业能力，招待龙纹法术表中的法术将加入你的法术列表中。如果你的职业法术列表中已经包含了招待龙纹法术表中的某个法术，那么此后你始终视为准备或已知着该法术，无需占据准备或已知法术数量。
招待龙纹法术
法术环阶
法术
一环
神莓术、睡眠术
二环
援助术、安定心神
三环
造粮术、李欧蒙小屋
四环
净化灵光、魔邓肯私人密室
五环
圣居</t>
  </si>
  <si>
    <t>探索龙纹</t>
  </si>
  <si>
    <t>先决条件：人类或兽人，出生于艾伯伦，只能在1级时选择该专长
探索龙纹能够强化感官，指引猎人捕捉猎物。各龙纹中，只有探索龙纹被发现会显现于两个种族身上，这两个种族就是人类和兽人。探索龙纹起源于阴影湿地，部落猎人会利用它来寻找猎物。你显现了探索龙纹，获得以下好处：
·黑暗视觉。你获得60尺黑暗视觉。
·猎人直觉。龙纹让你的感官变得敏锐，并能帮助你找到猎物。当你进行感知（察觉）或感知（求生）检定时，你能掷一个d4，并把结果加到属性检定的结果上。
·寻者魔法。你能通过此特性施展“猎人印记”法术。从第3级起，你还能施展“物品定位术”。一旦你使用此特性施展了前述法术，你将无法再次使用此特性，直到完成一次长休。感知是你在施展这些法术时的关键属性。
·龙纹法术。如果你拥有施法或契约魔法职业能力，探索龙纹法术表中的法术将加入你的法术列表中。如果你的职业法术列表中已经包含了探索龙纹法术表中的某个法术，那么此后你始终视为准备或已知着该法术，无需占据准备或已知法术数量。
探索龙纹法术
法术环阶
法术
一环
妖火、大步奔行
二环
动植物定位术、物件定位术
三环
鹰眼术、植物交谈术
四环
预言术、生物定位术
五环
问道自然</t>
  </si>
  <si>
    <t>阴影龙纹</t>
  </si>
  <si>
    <t>先决条件：精灵，出生于艾伯伦，只能在1级时选择该专长
阴影龙纹让精灵能够用阴影编织幻象，通过制造声音和图像使人分心或取悦他人。阴影龙纹也能够让持有者融入阴影中，让他们难以被轻易发现。你显现了阴影龙纹，获得以下好处：
·狡诈直觉。当你进行智力（表演）或敏捷（隐匿）检定时，你能掷一个d4，并把结果加到属性检定的结果上。
·阴影塑形。你能够施展“次级幻影”戏法。从第3级起，你能够通过此特性施展“隐形术”。一旦你使用此特性施展了前述法术，你将无法再次使用此特性，直到完成一次长休。智力是你在施展这些法术时的关键属性。
·龙纹法术。如果你拥有施法或契约魔法职业能力，阴影龙纹法术表中的法术将加入你的法术列表中。如果你的职业法术列表中已经包含了阴影龙纹法术表中的某个法术，那么此后你始终视为准备或已知着该法术，无需占据准备或已知法术数量。
阴影龙纹法术
法术环阶
法术
一环
易容术、无声幻影
二环
黑暗术、行动无踪
三环
鹰眼术、高等幻影
四环
高等隐形术、幻景
五环
假象术</t>
  </si>
  <si>
    <t>畜牧龙纹</t>
  </si>
  <si>
    <t>先决条件：人类，出生于艾伯伦，只能在1级时选择该专长
畜牧龙纹赋予持有者一条与兽类和自然世界之间的原始链接，让持有者能够使用安抚和调教的力量。这一效果不止能影响普通动物，龙纹后裔能够像驾驭马一样驾驭鹫马。你显现了畜牧龙纹，获得以下好处：
·野性直觉。当你进行感知（驯兽）或智力（自然）检定时，你能掷一个d4，并把结果加到属性检定的结果上。
·调教能手。你能够对30尺（取代通常的5尺）内的友方动物伙伴或坐骑使用协助动作。
·原始链接。你能够通过此特性施展“化兽为友”和“动物交谈术”，且无需材料成分。一旦你使用此特性施展了前述法术，你将无法再次使用此特性，直到完成一次长休。感知是你在施展这些法术时的关键属性。
·它们不过是大了点。你施展“化兽为友”或“动物交谈术”时可以指定野兽或怪兽为目标，前提是目标智力为3或以下。
·龙纹法术。如果你拥有施法或契约魔法职业能力，畜牧龙纹法术表中的法术将加入你的法术列表中。如果你的职业法术列表中已经包含了畜牧龙纹法术表中的某个法术，那么此后你始终视为准备或已知着该法术，无需占据准备或已知法术数量。
畜牧龙纹法术
法术环阶
法术
一环
化兽为友、动物交谈术
二环
兽之联结、安定心神
三环
希望信标、召唤动物
四环
生命灵光、支配野兽
五环
启蒙术</t>
  </si>
  <si>
    <t>创造龙纹</t>
  </si>
  <si>
    <t>先决条件：人类，出生于艾伯伦，只能在1级时选择该专长
创造龙纹能够在任何制造活动中引导持有者。持有者能够通过触碰修复物品，同时还能长期保有一个能够工作的弱效魔法物品。奇械师和法师能从创造龙纹中获益最多，但是附魔过的武器对任何人来说都很有用。你显现了创造龙纹，获得以下好处：
·工匠直觉。当你用工匠工具进行属性检定时，你能掷一个d4，并把结果加到属性检定的结果上。
·匠师天赋。你选择一种工匠工具，获得其熟练。
·魔力制造。你习得戏法“修复术”。同时，你能够通过此特性施展“魔化武器”，当你这么做时，该法术持续1小时，无需专注。一旦你使用此特性施展了前述法术，你将无法再次使用此特性，直到完成一次长休。智力是你在施展这些法术时的关键属性。
·龙纹法术。如果你拥有施法或契约魔法职业能力，创造龙纹法术表中的法术将加入你的法术列表中。如果你的职业法术列表中已经包含了创造龙纹法术表中的某个法术，那么此后你始终视为准备或已知着该法术，无需占据准备或已知法术数量。
创造龙纹法术
法术环阶
法术
一环
鉴定术、谭森浮碟术
二环
不灭明焰、魔化武器
三环
召唤箭雨、元素武器
四环
鬼斧神工、塑石术
五环
造物术</t>
  </si>
  <si>
    <t>通行龙纹</t>
  </si>
  <si>
    <t>先决条件：人类，出生于艾伯伦，只能在1级时选择该专长
通行龙纹掌管运动，它能让持有者以不可思议的速度和精确性移动。龙纹持有者甚至能够穿越空间，在眨眼之间从一个点闪现到另一个点。你显现了守护龙纹，获得以下好处：
·快递员之速。你的基础步行速度增加5尺。
·运动直觉。当你进行力量（运动）检定或者为了操作或维护陆运载具而进行属性检定时，你能掷一个d4，并把结果加到属性检定的结果上。
·魔法通道。你能够通过此特性施展“迷踪步”。一旦你使用此特性施展了前述法术，你将无法再次使用此特性，直到完成一次长休。敏捷是你在施展这些法术时的关键属性。
·龙纹法术。如果你拥有施法或契约魔法职业能力，通行龙纹法术表中的法术将加入你的法术列表中。如果你的职业法术列表中已经包含了通行龙纹法术表中的某个法术，那么此后你始终视为准备或已知着该法术，无需占据准备或已知法术数量。
通行龙纹法术
法术环阶
法术
一环
脚底抹油、跳跃术
二环
迷踪步、行动无踪
三环
闪现术、魅影驹
四环
任意门、行动自如
五环
传送法阵</t>
  </si>
  <si>
    <t>守护龙纹</t>
  </si>
  <si>
    <t>先决条件：人类，出生于艾伯伦，只能在1级时选择该专长
守护龙纹能够发出警报和保护他人。它能增强持有者的感官和反应能力，让他能以不可思议的速度对威胁做出反应。它也可以保护它的持有者不受伤害。无论是在战场上还是在宴会厅里，守护龙纹的持有者都随时着准备面对危险。你显现了守护龙纹，获得以下好处：
·哨兵直觉。当你进行感知（洞悉）或感知（察觉）检定时，你能掷一个d4，并把结果加到属性检定的结果上。
·哨兵之盾。你能够通过此特性施展“护盾术”，在完成一次长休后，你能再次施展此法术。感知是你在施展这些法术时的关键属性。
·警觉的护卫。当距离你5尺内的可见生物被攻击命中时，你能以一个反应动作与该生物交换位置，同时你代替该生物被击中。这么做后，你将无法再次使用此特性，直到完成一次长休。
·龙纹法术。如果你拥有施法或契约魔法职业能力，守护龙纹法术表中的法术将加入你的法术列表中。如果你的职业法术列表中已经包含了守护龙纹法术表中的某个法术，那么此后你始终视为准备或已知着该法术，无需占据准备或已知法术数量。
守护龙纹法术
法术环阶
法术
一环
强令对决、虔诚护盾
二环
守护之链、诚实之域
三环
解除魔法、防护能量伤害
四环
防死结界、信仰守卫
五环
毕格比之手</t>
  </si>
  <si>
    <t>抄录龙纹</t>
  </si>
  <si>
    <t>先决条件：侏儒，出生于艾伯伦，只能在1级时选择该专长
抄录龙纹能够辅助书面和口头交流的进行。在持有龙纹的侏儒眼中，文字就像努力传达自己意思的活体生物一样。抄录龙纹赋予了持有者很多天赋，其中包括了翻译语言和让持有者能够与他人进行远距离交流。
你显现了抄录龙纹，获得以下好处：
·天才抄写员。你当你进行智力（历史）检定或使用书法工具进行属性检定时，你能掷一个d4，并把结果加到属性检定的结果上。
·抄写员的领悟。你习得戏法“传讯术”。同时，你能够通过此特性施展“通晓语言”，在完成一次短休或长休后，你能再次施展此法术。从第3级起，你还能通过此特性施展“魔嘴术”，在完成一次长休后，你能再次施展此法术。智力是你在施展这些法术时的关键属性。
·龙纹法术。如果你拥有施法或契约魔法职业能力，抄录龙纹法术表中的法术将加入你的法术列表中。如果你的职业法术列表中已经包含了抄录龙纹法术表中的某个法术，那么此后你始终视为准备或已知着该法术，无需占据准备或已知法术数量。
抄录龙纹法术
法术环阶
法术
一环
通晓语言、迷幻手稿
二环
动物信使、沉默术
三环
短讯术、巧言术
四环
秘法眼、困惑术
五环
托梦术</t>
  </si>
  <si>
    <t>结果</t>
  </si>
  <si>
    <t>先决条件：植物
你的体质+1，不能超过24。
你习得“神莓术”，并且在每两次长休之间，可以免费施展该法术一次。施法关键属性为体质。</t>
  </si>
  <si>
    <t>粘液复苏</t>
  </si>
  <si>
    <t>先决条件：泥怪
当你的生命值降为0而昏迷，但并未直接死亡时，你向两个相反的水平方向分裂出两团粘液，它们与你的初始距离为20尺，若没有足够的空间以供分裂出粘液，你无法使用该专长。
粘液是一个小型物件，AC与你相同，生命值等于你最大生命值的五分之一。在每轮的先攻值20和10时，每块粘液向你移动5尺。当粘液与你的位置重合时，粘液消失，你恢复等同于最大生命值五分之一的生命值。
直到完成一次长休或短休前，你无法再次使用该专长。</t>
  </si>
  <si>
    <t>银质近战武器和弹药对某些魔幻生物，例如吸血鬼、兽化人、低阶邪魔具有克制作用，可以击破它们的伤害抗性。</t>
  </si>
  <si>
    <t>银（弹药）</t>
  </si>
  <si>
    <t>精金（近战）</t>
  </si>
  <si>
    <t>精金锻造的近战武器和弹药具有极强的破坏能力。每当一件精金武器或一发精金弹药命中一个物件时，这次攻击会造成重击。</t>
  </si>
  <si>
    <t>精金（弹药）</t>
  </si>
  <si>
    <t>水晶</t>
  </si>
  <si>
    <t>水晶与魔法具有良好的共鸣能力。每当一件水晶武器命中一个生物或物件时，使用者可以消耗一枚法术位，额外造成每法术环阶1d4的力场伤害。</t>
  </si>
  <si>
    <t>星石</t>
  </si>
  <si>
    <t>星石是星界之中，周而复始运动的彩石。每当一件星石武器被投掷出去，无论是否命中，它会折返回到使用者的手上。</t>
  </si>
  <si>
    <t>藤木</t>
  </si>
  <si>
    <t>藤木制造的弓和弩，既有适用于拉弦的韧性，又有适用于击打的硬度。持握这种远程武器对触及范围内的敌人发动近战攻击时，它可以视为“1d6挥砍，灵巧”的单手近战武器，也能用于借机攻击。</t>
  </si>
  <si>
    <t>秘银</t>
  </si>
  <si>
    <t>穿戴者的敏捷（隐匿）检定不会因盔甲而具有劣势</t>
  </si>
  <si>
    <t>精金</t>
  </si>
  <si>
    <t>穿戴者受到的重击改为普通命中</t>
  </si>
  <si>
    <t>龙钢</t>
  </si>
  <si>
    <t>穿戴者获得该种龙的吐息武器伤害类型所对应的伤害抗性</t>
  </si>
  <si>
    <t>山铜</t>
  </si>
  <si>
    <t>护甲基础ac提高1</t>
  </si>
  <si>
    <t>振金</t>
  </si>
  <si>
    <t>穿戴者获得对非魔法武器的钝击、挥砍、穿刺伤害抗性</t>
  </si>
  <si>
    <t>源铁</t>
  </si>
  <si>
    <t>穿戴者的回合结束时，恢复等同于其等级的生命值</t>
  </si>
  <si>
    <t>标枪（投矛）</t>
  </si>
  <si>
    <t>1d6穿刺；投掷（射程30/120）</t>
  </si>
  <si>
    <t>标准金币</t>
  </si>
  <si>
    <t>否</t>
  </si>
  <si>
    <t>标准金币是凡人最容易接触到的神器。它由重0.02磅（9.07克）的黄金制成，刻画着财富之神的圣徽。用一个动作对标准金币说出命令语，可以让它变为若干枚其它钱币。对若干枚叠放在一起的其它钱币说出命令语，可以让它们变为标准金币。总价值不变。可以与标准金币互相转化的钱币包括：铂金币（10gp）、克莱恩铁币（1gp）、银金币（5sp）、银币（1sp）、卡拉图五铢（5cp）、铜币（1cp）。摧毁神器。将标准金币加热至1958℉（1070℃），可以消除它的魔法效力。</t>
  </si>
  <si>
    <t>不破箭矢</t>
  </si>
  <si>
    <t>这个箭矢不会被破坏，除非其在反魔场中。</t>
  </si>
  <si>
    <t>手斧（短斧、钺）</t>
  </si>
  <si>
    <t>1d6挥砍；轻型，投掷（射程20/60）</t>
  </si>
  <si>
    <t>兵粮丸</t>
  </si>
  <si>
    <t>这个没有味道的海绵状凝胶珠子在你的舌尖溶解。提供一天份的食物营养、一品脱的新鲜且冰冷的饮水。</t>
  </si>
  <si>
    <t>长棍（巨棒、锏）</t>
  </si>
  <si>
    <t>1d6钝击；两用（1d8）</t>
  </si>
  <si>
    <t>铭记药水（0环）</t>
  </si>
  <si>
    <t>学院的魔药课上，西弗勒斯学长注意到，一位小学弟的学习进度落下了。出于某种爱憎交加的情绪（他曾追求过小学弟的母亲，对小学弟的出生有所抵触。但另一方面，他也不愿意违背那位母亲的遗愿，要照顾好小学弟），西弗勒斯决定用一本笔记帮助小学弟。他传授了近乎打小抄作弊一般的魔药原理，让小学弟进步神速，快速掌握了各类魔法。这种魔药流传以后，被世人称为铭记药水。
根据原材料品质的不同，这种独特的魔药具有十个不同的档次，分别对应戏法到九环。魔药允许准备施法者在不长休时更换准备法术，已知施法者在不升级时更换已知法术。
花费1分钟将这种魔药认真调配后，一边冥想着想要铭记的魔法公式一边服用，你可以将你所准备或已知的一个职业法术，替换为相同职业的另一个法术，新法术的法术环阶必须与魔药的档次相匹配，并且仍然需要满足准备或已知该法术的所有前提条件。
举例来说，法师不能铭记他的法术书里没有收录的法术，所有施法者都不能铭记超过其当前环阶施法能力的法术，没有准备或已知法术的生物服用该药水不会获得任何效果，天生施法、牧师领域法术、游侠范型法术等不占据准备/已知数量的法术无法被替换。</t>
  </si>
  <si>
    <t>1d6钝击；轻型</t>
  </si>
  <si>
    <t>有限体型药水</t>
  </si>
  <si>
    <t>饮用此药水后，你的一种身体部位在1小时内获得“变巨/缩小术”的变巨效应或缩小效应（由你选择），无需专注。这不会改变你的全身体型，也对战斗数据没有影响。</t>
  </si>
  <si>
    <t>短矛（短枪）</t>
  </si>
  <si>
    <t>1d6穿刺；投掷（射程20/60），两用（1d8）</t>
  </si>
  <si>
    <t>炸药种</t>
  </si>
  <si>
    <t>这个橡子大小的黄铜球体含有少量的爆破粉和一个发条触发器。使用一个动作可以将炸药种抛出30英尺，通过撞击引爆。每个在炸药种5尺范围内的生物都必须进行DC10的敏捷豁免，豁免失败受到1d8钝击伤害，豁免成功受到一半伤害。</t>
  </si>
  <si>
    <t>镰刀（镰）</t>
  </si>
  <si>
    <t>1d6挥砍；轻型</t>
  </si>
  <si>
    <t>增强弹药+1</t>
  </si>
  <si>
    <t>你使用此魔法弹药发动攻击检定和伤害掷骰时获得加值。加值的数值取决于弹药的价格。此弹药一旦击中目标即不再具有魔法效果。弹药的加值与魔法武器的加值不叠加，取较高者生效。</t>
  </si>
  <si>
    <t>轻弩</t>
  </si>
  <si>
    <t>1d8穿刺；弹药（射程80/320），装填，双手</t>
  </si>
  <si>
    <t>恐怖头盔</t>
  </si>
  <si>
    <t>当你戴着它时这个令人害怕的钢铁头盔使你的眼睛闪烁着红色的光芒。</t>
  </si>
  <si>
    <t>飞镖（飞针、手里剑）</t>
  </si>
  <si>
    <t>1d4穿刺；灵巧，投掷（射程20/60）</t>
  </si>
  <si>
    <t>翻腾斗篷</t>
  </si>
  <si>
    <t>只要你穿着翻腾斗篷，你就可以用一个附赠动作让它剧烈翻腾。</t>
  </si>
  <si>
    <t>短弓（半弓）</t>
  </si>
  <si>
    <t>1d6穿刺；弹药（射程80/320），双手</t>
  </si>
  <si>
    <t>修补之衣</t>
  </si>
  <si>
    <t>这件简洁的旅行者服饰装备戏法似的修复自己日常的磨损和破洞。这件装备被损毁的部分不能以此法恢复。</t>
  </si>
  <si>
    <t>投石索</t>
  </si>
  <si>
    <t>1d4钝击；弹药（射程30/120）</t>
  </si>
  <si>
    <t>清洁石</t>
  </si>
  <si>
    <t>清洁石是一个直径1尺的球状石块，上面刻着魔法徽记。当你触摸石头时，你可以用一个动作来激活它，清洁石将会去除你身上的污垢以及你衣服上的污渍。这些石头通常嵌在安黛尔的公共广场的基座上，或是出现在高端的伽兰达旅店中。</t>
  </si>
  <si>
    <t>吹箭筒</t>
  </si>
  <si>
    <t>1d4穿刺；弹药（射程25/100），装填</t>
  </si>
  <si>
    <t>怪物烟斗</t>
  </si>
  <si>
    <t>当你用这个烟斗抽烟的时候，你可以用一个动作呼出一阵膨胀的烟并变成一个单独生物的形状，例如一条龙，一个呋噜怪或者一个沼喉怪。这个形状必须足够小到一尺见方并且其会在数秒之后失去其形态，变回一阵烟雾。</t>
  </si>
  <si>
    <t>战斧（长钺）</t>
  </si>
  <si>
    <t>1d8挥砍；两用（1d10）</t>
  </si>
  <si>
    <t>霍华德便利香料包</t>
  </si>
  <si>
    <t>这个用袋子系住的小包出现时是空的并且有十发充能。只要你戴着这个小包时你可以以一个动作消耗其一发充能，说出任何一种非魔法的食物调味料（例如盐，胡椒，藏红花或者香菜），并且从中弄出一点想要的调味料。一点就足够料理单份的食物。这个小包于黎明时恢复1d6+4份充能。</t>
  </si>
  <si>
    <t>战锤（链枷、锁镰）</t>
  </si>
  <si>
    <t>1d8钝击；两用（1d10）</t>
  </si>
  <si>
    <t>貌纹绘彩</t>
  </si>
  <si>
    <t>乌黑粘稠的油彩被置于小瓶中，容量至多能够涂抹一位生物的面容。涂在生物脸上的图案外观通常呈昆虫眼、蜘蛛眼状。以这种方式使用油彩耗时1分钟。此后8小时，图案随你的心理状态变化。能看见你的生物可以进行一次DC为10的感知（洞悉）检定，检定成功则可以辨别你的心理状态为高兴、伤心、气愤、恶心、惊讶或惧怕，并了解该情绪产生的主要原因。比如你或许由于刚才在附近看见的怪物而恐惧，因失去朋友而哀痛，为在战斗中大显身手自豪因而兴高采烈。黑暗精灵在此类检定中具有优势。</t>
  </si>
  <si>
    <t>戟（长柄刀、关刀、薙刀、镰枪）</t>
  </si>
  <si>
    <t>1d10挥砍；重型，触及，双手</t>
  </si>
  <si>
    <t>铭记药水（1环）</t>
  </si>
  <si>
    <t>巨锤</t>
  </si>
  <si>
    <t>2d6钝击；重型，双手</t>
  </si>
  <si>
    <t>冲击弹</t>
  </si>
  <si>
    <t>这个弹药会掀起冲击。任何被这个弹药击中的生物必须通过DC10的力量豁免检定否则会被击倒。</t>
  </si>
  <si>
    <t>巨剑（重剑）</t>
  </si>
  <si>
    <t>2d6挥砍；重型，双手</t>
  </si>
  <si>
    <t>水蛭干</t>
  </si>
  <si>
    <t>这只水蛭被风干已久，其中蕴含着一股活化的魔力。如果你用这种弹药发动的远程武器攻击击中了一个生物，水蛭将复活并立刻将它的牙齿嵌在目标身上，之后，每个目标的回合开始时水蛭将对其造成1d4点穿刺伤害。如果这只水蛭合计造成了10点或更多伤害、或它的目标死亡，它将自动掉落下来。生物（包括目标自己）也可以用自己的动作来拔下水蛭。一旦水蛭离开它的目标，它就会再度死亡并不再具有魔法。</t>
  </si>
  <si>
    <t>巨斧（重斧）</t>
  </si>
  <si>
    <t>1d12挥砍；重型，双手</t>
  </si>
  <si>
    <t>万众时尚斗篷</t>
  </si>
  <si>
    <t>当你穿着这件斗篷，你就可以用一个附赠动作改变其款式，颜色，款式和外表的品质。这个斗篷的重量不会改变，这个斗篷除了斗篷啥都不是。尽管它能成为其他魔法斗篷外观上的复制品，但是它不能获得其魔法属性。</t>
  </si>
  <si>
    <t>长矛（戈、长枪）</t>
  </si>
  <si>
    <t>1d10穿刺；重型，触及，双手</t>
  </si>
  <si>
    <t>百变外套</t>
  </si>
  <si>
    <t>百变外套在制作时，可以往里面设定最多五种不同的服饰外观。当你穿着百变外套时，你能以一个附赠动作说出一个命令词，将它的外观变化为其蕴含的另一种外观。无论它表现为什么样子，百变外套始终只能被视为一件衣服。虽然它能变幻出一些其他魔法服饰的外貌，但它无法获得那些魔法服饰的特效。</t>
  </si>
  <si>
    <t>长剑（太刀）</t>
  </si>
  <si>
    <t>带翼弹药</t>
  </si>
  <si>
    <t>使用这种弹药发动的远程武器攻击可以无视半身掩护与四分之三掩护。此外，使用这种弹药发动的远程武器攻击不会因以最大射程攻击而具有劣势。</t>
  </si>
  <si>
    <t>钉头锤（战镐、锹）</t>
  </si>
  <si>
    <t>1d8穿刺；两用（1d10）</t>
  </si>
  <si>
    <t>爆破粉</t>
  </si>
  <si>
    <t>这种挥发性的炼金粉尘装在一个小袋子里。当引线或保险丝被明火点燃时，这种粉尘就会爆炸。每一个在炸开的袋子5尺内的生物必须进行一次DC13的敏捷豁免，豁免失败将受到3d6钝击伤害，豁免成功则受到一半伤害。一名角色可以将多袋爆破粉捆绑在一起，这样它们就可以同时爆炸。每增加一个袋子，伤害增加1d6（最大为10d6），爆炸半径增加5尺（至多20尺）。</t>
  </si>
  <si>
    <t>刺剑（花剑）</t>
  </si>
  <si>
    <t>1d8穿刺；灵巧</t>
  </si>
  <si>
    <t>标准治疗药水</t>
  </si>
  <si>
    <t>生物可以用一个动作喝下药水，或者用一个动作喂一名自愿生物喝下药水，喝下药水的生物恢复若干点生命值，恢复量取决于药水的价格。即使是构装生物或不死生物，也能因此恢复生命值，魔法就是这么奇妙！标准治疗药水：2d4+2</t>
  </si>
  <si>
    <t>弯刀（胁差）</t>
  </si>
  <si>
    <t>1d6挥砍；灵巧，轻型</t>
  </si>
  <si>
    <t>铭记药水（2环）</t>
  </si>
  <si>
    <t>短剑（双刀）</t>
  </si>
  <si>
    <t>1d6穿刺；灵巧，轻型</t>
  </si>
  <si>
    <t>指挥棒</t>
  </si>
  <si>
    <t>这根魔杖有三发充能，持握其时，你可以用一个动作挥舞其消耗一发充能创造一段管弦乐。这段音乐在六十尺内能被听到并会在你停止挥舞之后消失。指挥棒既是奥术法器，也是乐器。这根魔杖每天黎明恢复全部发已消耗的充能。当充能耗尽时，骰一次 d20。如果骰值为 1，伴随着演奏出一阵哀恸的低音兼次中音大号声音，这根魔杖会碎成灰烬并且其会被破坏。</t>
  </si>
  <si>
    <t>三叉戟</t>
  </si>
  <si>
    <t>1d6穿刺；投掷（射程20/60），两用（1d10）</t>
  </si>
  <si>
    <t>幻象乐器</t>
  </si>
  <si>
    <t>是</t>
  </si>
  <si>
    <t>当你使用这个乐器演奏音乐，你可以在乐器5尺半径的球体周围创造无害的，虚无缥缈的视觉效应。如果你是个诗人，那么半径提高到15尺。简单的视觉效应包括了发光的音符，特殊的舞蹈，蝴蝶，悠长的落雪。这种魔法影响既无触感亦无声音，他们显然是幻象。此效应在你停止演奏后结束。</t>
  </si>
  <si>
    <t>鞭</t>
  </si>
  <si>
    <t>1d4挥砍；灵巧，触及</t>
  </si>
  <si>
    <t>烟火魔杖</t>
  </si>
  <si>
    <t>这根魔杖有七发充能，持握其时，你可以用一个动作消耗一发充能创造一束无害且多彩的光亮迸发于六十尺内你可以看到的一点。这段光亮迸发伴随着三百吃尺内都可以听清的爆裂声。这道光亮如火炬却只存一瞬。这根魔杖每天黎明恢复1d6+1发已消耗的充能。当充能耗尽时，骰一次 d20。如果骰值为 1，这根魔杖会迸发出一阵无害的烟火表演并且其会被破坏。</t>
  </si>
  <si>
    <t>手弩</t>
  </si>
  <si>
    <t>1d6穿刺；弹药（射程30/120）</t>
  </si>
  <si>
    <t>愁苦之棒</t>
  </si>
  <si>
    <t>这根魔杖有三发充能，持握其时，你可以用一个动作消耗一发充能并且指定一个类人生物作为目标。目标必须通过一个DC10的智力豁免检定否则被强制愁苦一分钟。这根魔杖每天黎明恢复全部已消耗的充能。当充能耗尽时，骰一次 d20。如果骰值为 1，这根魔杖会变成一根欢笑之棒。</t>
  </si>
  <si>
    <t>重弩</t>
  </si>
  <si>
    <t>1d10穿刺；弹药（射程100/400），重型，装填，双手</t>
  </si>
  <si>
    <t>欢笑之棒</t>
  </si>
  <si>
    <t>这根魔杖有三发充能，持握其时，你可以用一个动作消耗一发充能并且指定一个类人生物作为目标。目标必须通过一个DC10的智力豁免检定否则被强制微笑一分钟。这根魔杖每天黎明恢复全部已消耗的充能。当充能耗尽时，骰一次 d20。如果骰值为 1，这根魔杖会变成一根愁苦之棒。</t>
  </si>
  <si>
    <t>长弓（大弓）</t>
  </si>
  <si>
    <t>1d8穿刺；弹药（射程150/600），重型，双手</t>
  </si>
  <si>
    <t>绿帽子</t>
  </si>
  <si>
    <t>当一个通过“典礼术”举行过婚礼的生物戴着这顶魔法帽子时，该生物的伴侣在敏捷（隐匿）和感知（欺瞒）检定上具有优势。共生体。完成同调后，绿帽子无法被脱下，你也不能主动终止与绿帽子的同调。如果你成为一个能结束诅咒的法术的目标，那么你与绿帽子的同调自动结束，它将会与你分离。</t>
  </si>
  <si>
    <t>捕网（套索）</t>
  </si>
  <si>
    <t>投掷（射程10/30）</t>
  </si>
  <si>
    <t>钓竿</t>
  </si>
  <si>
    <t>当你持握这根十尺长杆，你可以用一个动作说出命令词使其变为附带鱼钩，鱼线和鱼饵的鱼竿。再说一边命令语会令其变为一根正常的十尺长杆。</t>
  </si>
  <si>
    <t>刺链（绳镖）</t>
  </si>
  <si>
    <t>2d4穿刺；灵巧，双手，触及（+10尺）</t>
  </si>
  <si>
    <t>压缩杆</t>
  </si>
  <si>
    <t>当你持握这根十尺长杆，你可以用一个动作说出命令词使其缩小为便于储藏的一尺小棒。你可以用一个动作说出不同的命令语使这根小棒变回一根长杆；然而，小棒最多只能延长到空间所允许的地步。</t>
  </si>
  <si>
    <t>骑枪（马枪）</t>
  </si>
  <si>
    <t>1d12穿刺；触及</t>
  </si>
  <si>
    <t>修补绳</t>
  </si>
  <si>
    <t>你可以把这根五十尺长绳切成任何数量的更短小段，然后用一个动作说出命令语让这些小段结合回一体。这些小段必须连在一起并且不得另作他用。如果其中有一段被摧毁或者匿失则修补绳会永远短一截。</t>
  </si>
  <si>
    <t>双刃弯刀（双头剑）</t>
  </si>
  <si>
    <t>2d4挥砍；双手，灵巧</t>
  </si>
  <si>
    <t>时间球</t>
  </si>
  <si>
    <t>只要持有这颗球，你就可以用一个动作探知外面是早上中午傍晚还是午夜。这种特性只在物质位面有用。</t>
  </si>
  <si>
    <t>腕刃（快刃）</t>
  </si>
  <si>
    <t>清醒杯</t>
  </si>
  <si>
    <t>这个大酒杯上的一侧雕刻着一张坚毅的脸。你可以喝麦芽酒，葡萄酒或者其他任何非魔法的酒精饮料而不会醉。这个酒杯对魔法液体或者毒药之类的有害物质不会产生影响。</t>
  </si>
  <si>
    <t>巨镰（处刑镰）</t>
  </si>
  <si>
    <t>1d8挥砍；双手</t>
  </si>
  <si>
    <t>攀爬药水</t>
  </si>
  <si>
    <t>饮用此药水后，你获得等同于你步行速度的攀爬速度，持续1小时。在此期间，你攀爬时进行的力量（运动）检定具有优势。药水分离成类似于岩层的褐色、银色和灰色三层，即使摇晃也不会让三种颜色混合到一起。</t>
  </si>
  <si>
    <t>钩镰枪</t>
  </si>
  <si>
    <t>1d8穿刺；双手</t>
  </si>
  <si>
    <t>干燥粉</t>
  </si>
  <si>
    <t>这个小包里共装着1d6+4把粉末。你可以用一个动作将一把粉末洒到水面上。粉末将把15尺立方区域的水变成一个弹珠大小的小球，漂浮或停止在粉末被洒下的位置附近。小球的重量可以忽略不计。任一生物可以用一个动作将小球摔在某个结实表面，以令小球破碎并释放其中的水分。同时使小球失去其魔力。身体大部分由水组成的元素生物在接触到一把干燥粉时必须进行一次DC 13的体质豁免，失败则受到10d6点黯蚀伤害，成功则伤害减半。一包干燥粉的价格为所有粉末价格的总和，每把粉末50gp。</t>
  </si>
  <si>
    <t>飞轮（环刃、回旋镖）</t>
  </si>
  <si>
    <t>1d8挥砍；投掷（射程50/150），灵巧</t>
  </si>
  <si>
    <t>增强弹药+2</t>
  </si>
  <si>
    <t>连弩（机关弩）</t>
  </si>
  <si>
    <t>1d4穿刺；弹药（射程30/120）</t>
  </si>
  <si>
    <t>撰写乐器</t>
  </si>
  <si>
    <t>这个乐器有三发充能。当你使用这个乐器演奏音乐，你可以用一个动作消耗这个乐器一发充能并在一个30尺内你可以看到的非魔法的物体或者表面写下一道信息。这个信息最长六个字并由你所知的语言书写。如果你是个吟游诗人，你可以额外撰写七个字并且可以选择令其发光，让它在非魔法的黑暗中可以被看见。不论如何，这些文字将在24小时后消失。这个号角每天黎明恢复全部消耗掉的充能。</t>
  </si>
  <si>
    <t>战争投石器</t>
  </si>
  <si>
    <t>1d10钝击；弹药（射程60/180），重型，双手</t>
  </si>
  <si>
    <t>伪迹靴</t>
  </si>
  <si>
    <t>只有类人生物可以穿着这个靴子，当你穿着这个靴子时，你可以选择留下另一种类人生物的足迹。</t>
  </si>
  <si>
    <t>巨弓（骨弓、猎龙弓）</t>
  </si>
  <si>
    <t>2d10穿刺；弹药（射程300/1200），重型，双手</t>
  </si>
  <si>
    <t>蕴能木魔杖（“混沌漩涡”奇斯瑞）</t>
  </si>
  <si>
    <t>蕴能木法器可以是一柄权杖、法杖或是魔杖，将注满异位面能量的树木切割后制成。如果你是一名施法者，你可以使用蕴能木法器作为你的施法法器。“梦境异界”达·库尔、“完美秩序”达安维、“死者国度”杜鲁尔、“苍蓝天庭”西拉尼亚、“妖精花园”瑟兰尼斯没有对应的蕴能木法器，原因不详。当你使用蕴能木法器施展一个造成伤害的法术时，如果法术的伤害类型与蕴能木的类别吻合，则伤害掷骰+1加值。</t>
  </si>
  <si>
    <t>立体机动装置</t>
  </si>
  <si>
    <t>立体机动装置是一套复杂的装备，包括气动装置、皮带结构和钩枪。可以配备单手近战武器作为刀片。着装立体机动装置时，你不能同时着装中甲、重甲。
你可以用立体机动装置发动掠袭。掠袭视为一种攻击动作，但无法将其中若干次攻击替换为战技，除了那些启动消耗为“替换一次攻击”的打击技。
掠袭
以一个动作，你消耗至多15尺移动力，选择等同于你消耗的移动力的双倍距离内的一处固体障碍或一个体型比你大的生物作为锚定点射出钩枪，并借由绳索和气动装置沿直线移动至锚定点周围5尺未被占据的空间。以这种方式移动，可以穿越其他生物占据的空间且不会引发借机攻击。
你可以对每个由你选择的、被你以这种方式穿过的生物，依次用单手近战武器进行一次攻击。使用立体机动装置需要强大的肌肉力量，如果你的力量值小于你用于发动攻击的关键属性值，则在掠袭中发动的攻击具有劣势。
发动掠袭需要两只手，一只手射出钩枪，一只手在空中挥舞单手近战武器。若你在掠袭中发动的某一次攻击检定的d20骰为1，则你在移动结束后将会倒地，且速度在当前回合里降低至0。</t>
  </si>
  <si>
    <t>蕴能木魔杖（“破晓森林”拉玛尼亚）</t>
  </si>
  <si>
    <t>战法宝石</t>
  </si>
  <si>
    <t>战法宝石能够镶嵌在任何人造武器上，将这件武器同时变成了法器。你可以用持握镶嵌战法宝石的武器的手，来完成法术的姿势成分和材料成分（有价值的耗材除外）。
你的法术攻击加值和法术豁免DC提高等同于“该武器的额外攻击加值”的数值。这个数值提升仅对你以该武器，在过去的1分钟内攻击过的目标有效（无论攻击是否命中）。
举例来说，你的法术豁免DC基础值为16，拥有镶嵌了战法宝石的+2武器。你对两个敌人同时施展三环版本的“人类定身术”，其中第一个敌人被你刚刚用该武器攻击过，那么此法术对两个敌人的豁免DC分别为18和16。</t>
  </si>
  <si>
    <t>蕴能木魔杖（“永恒黑夜”玛伯尔）</t>
  </si>
  <si>
    <t>毒药容体</t>
  </si>
  <si>
    <t>毒药容体是可以镶嵌在近战武器的握把上的容器。毒药容体内部能够储存至多4剂“接触类或损伤类毒药”。存放或取出一剂毒药需要花费一个动作。
在使用镶嵌了毒药容体的近战武器发动攻击之前，作为攻击的一部分，你可以按住毒药容体的按钮，选择存放其中的一种毒药，让该种毒药自动渗出并涂抹在武器上。</t>
  </si>
  <si>
    <t>蕴能木魔杖（“冰川”瑞西亚）</t>
  </si>
  <si>
    <t>复合滑轮</t>
  </si>
  <si>
    <t>复合滑轮可以安装在弓上，包括了上下两个滑轮、弓片减震器、拉力调节螺栓等机械结构。这样的弓与传统弓相比，更加省力，也具有更高的精度。包括以下效果：
·即使你的力量值未达到标准，也不会因为弓的“重型”属性而导致攻击具有劣势。
·弓的武器基础伤害骰提高一级（d6→d8，d8→d10，d10→d12）。
·如果你原本不能在使用弓发动远程武器攻击的伤害掷骰中加上某项属性调整值，则现在可以在伤害掷骰中加上你的力量调整值。</t>
  </si>
  <si>
    <t>蕴能木魔杖（“战场”萨拉法斯）</t>
  </si>
  <si>
    <t>暗格弹簧</t>
  </si>
  <si>
    <t>恶徒不会公平对决，暗藏在身上的多样化武器将基于他们奇袭的机会。暗格弹簧连接一把匕首的柄，然后收纳进某个隐蔽的角落，伺机待发。匕首可以用于近战攻击，也能用于投掷。但投掷之后必须重新安装。
你可以用一个交互动作，弹出或收起暗格弹簧。暗格弹簧收起时，生物需要通过DC20的感知（察觉）检定才能发现它的存在；暗格弹簧弹出时，你可以用这把匕首正常发动攻击，且不占用你的手。
暗格弹簧的常见安装位置，有以下几种：
·脚刃。隐藏在鞋底上，位于脚尖或高跟鞋的鞋跟。穿戴者通过用脚敲击地面，来弹出或收起暗格弹簧。
·肘刃。隐藏在护手，或是肘部盔甲里侧。轻挥或扭动手腕，肘刃便沿着与前臂平行的方向，向后弹出。
·袖剑。隐藏在衣袖或是手套中。五指握拳，或是拨动掌背机括，能够伸出袖中的锋芒。
·盾刺。隐藏在盾牌边缘，或是盾徽图案里。用盾拍击目标，盾刺便在同一时刻伸出，把守势转为攻势。
·翼翎。隐藏在翅膀的羽毛或翼膜之中。背部肌肉发力，翅膀尖端即可弹出匕首。</t>
  </si>
  <si>
    <t>蕴能木魔杖（“疯狂国度”瑟瑞奥特）</t>
  </si>
  <si>
    <t>枪械套组</t>
  </si>
  <si>
    <t>枪械套组包括瞄准镜、消音器、可拆卸支架等。套组中的每一个部分都有其独特的功能：
·瞄准镜。当你使用枪械攻击一个最大射程内、有效射程外的目标时，不会因为超出了有效射程而导致攻击具有劣势。
·消音器。枪械开火时，不再产生声响。
·支架。当枪械安放在固体表面时，即使你的力量值未达到标准，也不会因为枪械的“后坐力”属性而导致攻击具有劣势。
·战术灯。你可以用一个动作，打开或关闭战术灯。开灯时，枪械向前方产生60尺锥形的明亮照明，和再向外延伸30尺的昏暗照明。你也可以让战术灯仅仅产生激光式的线型照明，用于指示目标位置。</t>
  </si>
  <si>
    <t>蕴能木权杖（“火海”费尼亚）</t>
  </si>
  <si>
    <t>外延挡板</t>
  </si>
  <si>
    <t>一面安装了外延挡板的盾牌，需要两只手才能正常持握和使用。这类盾牌常常被称为塔盾。除了盾牌原有的功能以外，它还会为持握者提供半身掩护。
外延挡板的另一种安装方法，是同时拼接两面盾牌，把它们作为一面需要双手使用的塔盾。拼接了两面盾牌的塔盾，同时具有这些盾牌的所有魔法属性，但只提供一次盾牌基础AC。
举例来说，将+2盾牌和+3盾牌用外延挡板拼接为塔盾之后，它会提供+7AC和额外的半身掩护。</t>
  </si>
  <si>
    <t>蕴能木权杖（“永恒白昼”伊瑞安）</t>
  </si>
  <si>
    <t>布甲</t>
  </si>
  <si>
    <t>护甲等级（AC）9+熟练加值+敏捷调整值；隐匿劣势</t>
  </si>
  <si>
    <t>蕴能木权杖（“混沌漩涡”奇斯瑞）</t>
  </si>
  <si>
    <t>皮甲</t>
  </si>
  <si>
    <t>护甲等级（AC）9+熟练加值+敏捷调整值</t>
  </si>
  <si>
    <t>蕴能木权杖（“破晓森林”拉玛尼亚）</t>
  </si>
  <si>
    <t>镶钉皮甲</t>
  </si>
  <si>
    <t>护甲等级（AC）10+熟练加值+敏捷调整值</t>
  </si>
  <si>
    <t>蕴能木权杖（“战场”萨拉法斯）</t>
  </si>
  <si>
    <t>链甲衫</t>
  </si>
  <si>
    <t>护甲等级（AC）11+熟练加值+敏捷调整值（最大2）</t>
  </si>
  <si>
    <t>蕴能木权杖（“疯狂国度”瑟瑞奥特）</t>
  </si>
  <si>
    <t>蛛丝衣</t>
  </si>
  <si>
    <t>阿瑟蒙妮之弹丸（追踪）</t>
  </si>
  <si>
    <t>这些弹药装在一个袋子里，里面有1d4+4颗弹丸。在列表上为每颗弹丸投骰，以确定其魔法属性。
你在用这些弹丸做出的攻击和伤害检定有+2的加成。如果弹丸没有击中目标，弹丸会传送回弹袋。一旦弹丸击中目标，弹丸就会失去魔力。
追踪Tracking。受到这颗弹丸伤害的生物会在被子弹击中的地方被标记上一个发光符文。这个标记会持续24小时。当生物被标记时，你总是知道它的方向。
一袋价格为1d4+4颗随机弹丸的单价的总和。在竞技场或短团中，震慑弹丸为非卖品。</t>
  </si>
  <si>
    <t>鳞甲</t>
  </si>
  <si>
    <t>护甲等级（AC）12+熟练加值+敏捷调整值（最大2）；隐匿劣势</t>
  </si>
  <si>
    <t>屏障刺青（12+敏捷调整值）</t>
  </si>
  <si>
    <t>该魔法刺青用一根特殊的针制作，用液态金属般的墨水绘有代表防护的图案。
刺青同调。 同调此物品时，你需要将针持握，并抵在你想要让刺青出现的那处皮肤上。当同调完成时，针头会化为墨水再变成刺青。若你与刺青的同调结束，刺青会消失，针头会再次出现在你的位置中。
防护。当你没有穿戴盔甲的时候，刺青会给予你下方列出的由刺青的珍稀度决定的护甲等级。基础AC：12+敏捷调整值</t>
  </si>
  <si>
    <t>藤甲</t>
  </si>
  <si>
    <t>夸尔羽符（树）</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</si>
  <si>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树：这枚羽符只能在室外使用。你可以用一个动作以这枚羽符碰触一片未被占据的地面。羽符将消失，一棵巨大的非魔法橡树将在羽符消失的地方长出。橡树高60尺，其树干直径5尺，树冠半径20尺。</t>
  </si>
  <si>
    <t>半身板甲</t>
  </si>
  <si>
    <t>护甲等级（AC）13+熟练加值+敏捷调整值（最大2）；隐匿劣势</t>
  </si>
  <si>
    <t>艾恩石（维生）</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</si>
  <si>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颜色：透明
类型：维生
效果：你无需饮食也能生存。</t>
  </si>
  <si>
    <t>金竹甲</t>
  </si>
  <si>
    <t>奥斯沼泽的药草（铁木根）</t>
  </si>
  <si>
    <t>奥斯沼泽（Othemoor）丰富原始的自然环境孕育了许多稀有的和备受追捧的药草。那些草药师、炼金术士和香料商人们经常到奥斯来给他们的店铺进行补给。以下是一些经常在奥斯中出售的药草产品：铁木根Theki Root。这种厚厚的生长在沼泽里的植物根部尝起来很苦，但被认为有助于消化系统的健康。当你使用一个动作消耗一剂铁木根时，你在对抗毒素或具有中毒效应的豁免检定中获得优势，持续8小时。</t>
  </si>
  <si>
    <t>链甲</t>
  </si>
  <si>
    <t>护甲等级（AC）14+熟练加值；隐匿劣势</t>
  </si>
  <si>
    <t>奥斯沼泽的药草（欧利苏巴叶）</t>
  </si>
  <si>
    <t>奥斯沼泽（Othemoor）丰富原始的自然环境孕育了许多稀有的和备受追捧的药草。那些草药师、炼金术士和香料商人们经常到奥斯来给他们的店铺进行补给。以下是一些经常在奥斯中出售的药草产品：欧利苏巴叶Olisuba Leaf。这些晒干的欧利苏巴树的树叶可以用来泡茶，它可以帮助身体从疲劳中恢复。如果你在长休期间饮下一剂欧利苏巴茶，那么在长休结束时，你的力竭等级会降低2而不是1。</t>
  </si>
  <si>
    <t>板条甲</t>
  </si>
  <si>
    <t>护甲等级（AC）15+熟练加值；隐匿劣势</t>
  </si>
  <si>
    <t>杂货法袍</t>
  </si>
  <si>
    <t>这件长袍上打着各种颜色和形状的补丁。穿着这件长袍时，你可以用一个动作撕下一块补丁，令它变成它象征的物件。所有补丁都被撕下后，这件长袍将变为普通衣物。
杂货法袍有以下补丁各2个：· ·匕首· ·牛眼提灯（装满燃料且点燃）· ·钢镜· ·10尺长杆· ·麻绳（长50尺，盘绕状态）· ·麻布袋
另外，杂货法袍还有4d4个其他补丁。补丁对应的物品由DM选择或随机决定。杂货法袍的初始价格为100gp。每有一个额外的补丁，价格提高150gp。</t>
  </si>
  <si>
    <t>板甲</t>
  </si>
  <si>
    <t>护甲等级（AC）16+熟练加值；隐匿劣势</t>
  </si>
  <si>
    <t>静报号角</t>
  </si>
  <si>
    <t>这个号角有四发充能。当你使用一个动作并消耗一发充能吹响它，一个你所选择的生物能听到其嘟嘟声，前提是这个生物在号角的六百尺范围内且不耳聋。这个号角每天黎明恢复1d4发消耗掉的充能。</t>
  </si>
  <si>
    <t>龙龟铠</t>
  </si>
  <si>
    <t>臂刃</t>
  </si>
  <si>
    <t>臂刃是一种附着在你手臂上的魔法武器，只要维持同调，臂刃就无法与你分离。为了完成同调，你必须在同调期间将臂刃一直贴着你的前臂。使用一个附赠动作，你能把臂刃从前臂中弹出，或是将其收回。当臂刃弹出时，你可以如同持有该武器一般来使用它，此时你将不能用这只手执行其他操作。</t>
  </si>
  <si>
    <t>护甲等级（AC）2</t>
  </si>
  <si>
    <t>微视镜片</t>
  </si>
  <si>
    <t>这种水晶镜片可以着装到眼睛上。着装该镜片时，可以更清晰的观察周边1尺以内的东西。在此范围内，你为搜索区域或研究物件所作，依赖视力的智力（调查）检定具有优势。</t>
  </si>
  <si>
    <t>算盘</t>
  </si>
  <si>
    <t>传讯石</t>
  </si>
  <si>
    <t>传讯石由两块经过雕刻相互可以匹配的光滑石头组成，外形非常容易辨认。当你碰触其中一块传讯石时，你可以用一个动作施展“短讯术sending”，目标为另一块传讯石的携带者。如果另一块传讯石没有被任何生物携带，则你在使用石头时将会得知这一信息，而该短讯术 不会被浪费。使用短讯术 后，直到次日黎明前传讯石都无法再次启动。如果一块传讯石被摧毁，则与它配对的另一块石头也将失去其魔法。</t>
  </si>
  <si>
    <t>背包</t>
  </si>
  <si>
    <t>方向球</t>
  </si>
  <si>
    <t>只要持有这颗球，你就可以用一个动作探知哪个方向是北。这种特性只在物质位面有用。</t>
  </si>
  <si>
    <t>书本</t>
  </si>
  <si>
    <t>老兵手杖</t>
  </si>
  <si>
    <t>当你拄着这根助步杖并且以一个附赠动作说出命令词，则其会变成一把非魔法的普通长剑。</t>
  </si>
  <si>
    <t>铺盖</t>
  </si>
  <si>
    <t>深渊蜡烛</t>
  </si>
  <si>
    <t>这个蜡烛的火焰遇水时不会熄灭，它就像正常一样发出光和热。</t>
  </si>
  <si>
    <t>铃铛、信号笛</t>
  </si>
  <si>
    <t>骗子骰</t>
  </si>
  <si>
    <t>当你掷这枚六面骰时，你可以控制其数字。</t>
  </si>
  <si>
    <t>篮子、箱子</t>
  </si>
  <si>
    <t>骗术锁</t>
  </si>
  <si>
    <t>这把锁看上去就像是普通的锁并且只带有一把钥匙。这把锁里魔法的变相齿轮拒斥了固执的窃贼。在这把锁上进行的敏捷检定取劣势。</t>
  </si>
  <si>
    <t>钉子（10枚）</t>
  </si>
  <si>
    <t>神秘钥匙</t>
  </si>
  <si>
    <t>一个问号在钥匙的上端运转。这把钥匙有百分之五的几率打开任何一个其插入的锁，如果它打开了什么，那么它就会消失。</t>
  </si>
  <si>
    <t>制冰剂</t>
  </si>
  <si>
    <t>两袋分开放置的晶体，常见成分为氯化铵和氢氧化钡。若是用一个动作将它们混合在一起，它们会在1分钟内不断吸取周围的热量，随后失去效用。每份制冰剂能够把一个5尺方格的水域变成冰块，或是让一片5尺方格的土地冻结为困难地形。</t>
  </si>
  <si>
    <t>抄录员之笔</t>
  </si>
  <si>
    <t>你可以使用这支笔在任意平面上书写。其墨迹根据你的选择可以是可见的，也可以是隐形的。不过，持有抄录龙纹的生物总是能看见这些墨迹。拥有抄录龙纹的生物可以耗费一个动作接触隐形的墨迹，让其对所有人显形。如果你使用这支笔在一个生物身上写字，那么除非它是构装体，否则墨迹将在7天之后淡去不见。</t>
  </si>
  <si>
    <t>玻璃瓶</t>
  </si>
  <si>
    <t>说话玩偶</t>
  </si>
  <si>
    <t>当这个毛绒玩偶在你周围五尺的时候，你可以花费一个短休息的时间教会他说六个短句，每个最多由六个字（词）组成，并且分别设置一个在其下玩偶会说出这些短词语的可见条件。你可以以新的短句替换旧的。不论条件是什么，它必须发生在玩偶五尺内。举例来说，当有人拾起这个玩偶时它会说“我想要一些糖果”。当你和玩偶的同调断开时，这些短句也会消失。</t>
  </si>
  <si>
    <t>天平</t>
  </si>
  <si>
    <t>一架天平包括一个小的衡平、一对托盘和一套共重2磅的砝码。它可以用来称量小物件的精细重量（比如稀有贵金属或贸易货物），以便估价。</t>
  </si>
  <si>
    <t>问号镜</t>
  </si>
  <si>
    <t>如果一个生物在问号镜附近5尺内说出一个种族、一个性别和一项属性值（示例：“问号镜，告诉我，力量最高的女性矮人是谁？”），那么问号镜将通过预言效果，在镜子中显示出该种族、该性别、该项属性值最高的个体之一的外观，持续1分钟。直到次日黎明前，问号镜无法再次启用。</t>
  </si>
  <si>
    <t>链条（10尺）</t>
  </si>
  <si>
    <t>一根链条有10点生命值。它可以被一次成功的DC20力量检定挣断。</t>
  </si>
  <si>
    <t>无尽饮料容器</t>
  </si>
  <si>
    <t>共有四种不同的无尽饮料容器，分别是“无尽咖啡瓶”“无尽茶壶”“无尽汽水罐”“无尽酒桶”。这个容器装着美味的饮料。容器上有一个塞子，通过一个小链子连接到容器上。塞子在打开时，除了容器所生产的饮料外，任何液体都倒不进瓶子里。里面的饮料始终处于舒适的温度，而且触摸瓶子也感觉不到任何热量。每次你喝饮料的时候，掷一个D20。如果是1，容器在接下来的一小时内将拒绝供应饮料。如果你从容器里倒饮料，而不是喝它，饮料在离开容器的那一刻就会消失。DM可以参照下表，自行选择或随机掷骰，决定使用者每次喝饮料时，品尝到的饮料口味。</t>
  </si>
  <si>
    <t>箭袋、弩矢匣</t>
  </si>
  <si>
    <t>一只箭袋可以盛装20支箭。</t>
  </si>
  <si>
    <t>迷醉香水</t>
  </si>
  <si>
    <t>这个小瓶里有魔法的香水，足够一人用。你可以用一个动作将香水用于自身，其效应将持续一小时。在这期间，你对1级或更低的类人生物在所有感知检定上有优势。被香水影响的生物不会注意到他们被魔法所影响。</t>
  </si>
  <si>
    <t>卷轴匣</t>
  </si>
  <si>
    <t>一个圆柱形皮匣能够装上十张卷起的纸或是五张卷起的羊皮纸。</t>
  </si>
  <si>
    <t>法术晶格</t>
  </si>
  <si>
    <t>这块抛光的艾伯伦龙晶大小刚好一握，功能上类似一本书，里面蕴藏着信息。晶格可以存下的内容最多相当于一本320页的书。晶格在被制造出来时可以是空的，也可以已经存入了信息。当晶格被创造出来时，创造者还可以设定一个口令，如此必须对上口令才能接触到晶格内的信息。当你握住晶格时，可以耗费一个动作将你的意识向晶格敞开，在脑海中阅读其内容。在随后的回合中，阅读文本或在晶格中的空白“页面”上写下新的文本需要维持专注（类似于维持法术专注），在晶格中读写所需的时间与正常读写相同。思考一个特定的短语或标题会将你的意识拽向晶格中它第一次出现的位置。法师可以使用法术晶格作为其法术书，在晶格内“抄录”法术消耗的金币与通常情况相同。</t>
  </si>
  <si>
    <t>毯子、毛巾</t>
  </si>
  <si>
    <t>耐久法术书</t>
  </si>
  <si>
    <t>这本法术书以及其书页上所书写的任何内容都不会被火焰所损毁亦不会被水所泡烂。更甚，这本法术书不因年岁而变烂。</t>
  </si>
  <si>
    <t>普通服装</t>
  </si>
  <si>
    <t>万溶剂</t>
  </si>
  <si>
    <t>这管乳白色的液体散发着浓烈的酒精气味。你可以用一个动作将管中液体倒在触及范围内的某表面上。万溶剂将立刻溶解它接触到的至多1立方尺的粘合剂（包括至尊胶sovereign glue）。</t>
  </si>
  <si>
    <t>表演服装</t>
  </si>
  <si>
    <t>魔力药水（一环）</t>
  </si>
  <si>
    <t>生物可以用一个动作喝下药水，或者用一个动作喂一名自愿生物喝下药水，喝下药水的生物恢复一枚法术位，法术位环阶取决于药水的价格。</t>
  </si>
  <si>
    <t>高档服装</t>
  </si>
  <si>
    <t>高等治疗药水</t>
  </si>
  <si>
    <t>生物可以用一个动作喝下药水，或者用一个动作喂一名自愿生物喝下药水，喝下药水的生物恢复若干点生命值，恢复量取决于药水的价格。即使是构装生物或不死生物，也能因此恢复生命值，魔法就是这么奇妙！高等治疗药水：4d4+4</t>
  </si>
  <si>
    <t>粉笔（10支装）</t>
  </si>
  <si>
    <t>铭记药水（3环）</t>
  </si>
  <si>
    <t>纸（10张）</t>
  </si>
  <si>
    <t>夸尔羽符（锚）</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</si>
  <si>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锚：你可以用一个动作以这枚羽符碰触一艘船。接下来的24小时中，无论采取何种方式，该船都无法被移动。用羽符再次碰触该船将终止该效应。效应终止时，羽符也将随之消失。</t>
  </si>
  <si>
    <t>羊皮纸（10张）</t>
  </si>
  <si>
    <t>夸尔羽符（扇）</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</si>
  <si>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扇：如果你正乘坐一艘船，你可以用一个动作将这枚羽符抛到10尺高的空中。羽符将消失，取而代之的是一把巨大的扇子。这把扇子会悬浮在空中，并扇起一阵足以推动一艘船的风，使船的速度增加5里每小时，持续8小时。你可以用一个动作解消羽符的效应。</t>
  </si>
  <si>
    <t>梯子（10尺）</t>
  </si>
  <si>
    <t>护盾法球</t>
  </si>
  <si>
    <t>护盾法球是一颗光滑的球状水晶或矿石，其材质调谐于某个异位面。如果你是一位施法者，你可以将护盾法球作为你的施法法器使用。“梦境异界”达·库尔、“完美秩序”达安维、“死者国度”杜鲁尔、“苍蓝天庭”西拉尼亚、“妖精花园”瑟兰尼斯没有对应的护盾法球，原因不详。如果你在持有护盾法球的情况下受到伤害，且该伤害类型与法球材质调谐的伤害类型相同，那么你就能使用一个反应动作，将伤害减少1d4点（最低至0）。材质与其调谐的伤害类型列于下表。</t>
  </si>
  <si>
    <t>爪钩</t>
  </si>
  <si>
    <t>路障</t>
  </si>
  <si>
    <t xml:space="preserve"> 这个橙色路障具有10点生命值，在生命值变为0时化作粉末。当你佩戴着它受到伤害时，由它代替你承受伤害，溢出的伤害才会由你承受。</t>
  </si>
  <si>
    <t>罐子、杯子、瓶子、壶、碗</t>
  </si>
  <si>
    <t>幻象织物</t>
  </si>
  <si>
    <t>幻象织物是一种附有无害幻觉魔法的服装。当你穿着幻象织物做成的衣服时，你可以使用一个附赠动作在布料上绘制出活动的幻象图纹，也可以使幻象图纹飘出布料。举个例子，一件幻象织物礼服可能会环绕着无害的虚幻火焰，而一顶幻象织物帽子则可能有虚幻的蝴蝶在它四周飞舞。穿着幻象织物时，你可以在智力（表演）或感知（游说）检定中额外投掷一枚d4，将结果计入检定。本能力被使用后，直到次日黎明前将无法再使用。</t>
  </si>
  <si>
    <t>麻绳、丝绳（50尺）</t>
  </si>
  <si>
    <t>麻质或者丝质的绳索，拥有2点生命值，且可以通过一次成功的DC17力量检定扯断。</t>
  </si>
  <si>
    <t>传送门罗盘</t>
  </si>
  <si>
    <t>当这件便携式奥术仪表与它穿过的最后一个传送门处于同一存在位面时，它会指向那个传送门的方向。如果那个传送门不复存在，指针将变为静止状态，直到这个罗盘穿过一个新的传送门。</t>
  </si>
  <si>
    <t>长杆（10尺）</t>
  </si>
  <si>
    <t>测距铜币</t>
  </si>
  <si>
    <t>这枚闪烁的铜币可以为其周围5尺半径范围提供微光光照。如果硬币向下掉落的距离大于5尺，则它在撞击到任意物体表面后会发出悦耳的铃声，任何听到铃声的生物都可以根据音调判断硬币掉落的距离。</t>
  </si>
  <si>
    <t>普通墨水（1盎司瓶）</t>
  </si>
  <si>
    <t>万能工具</t>
  </si>
  <si>
    <t>这把简单的螺丝刀可以转换为许多种工具：作为一个动作，你可以触摸这件物品，而后它会转换为一套由你选择的工具。</t>
  </si>
  <si>
    <t>羽毛笔、钢笔、铅笔、刷笔</t>
  </si>
  <si>
    <t>启蒙花盆</t>
  </si>
  <si>
    <t>你可以在这个十磅的黏土花盆里种植普通的植物并待其生长三十天，这个灌木会在那段时间结束后魔法般地变成一株启蒙灌木（数据见怪物手册）。当灌木被启蒙，它的根会破坏花盆，将其摧毁。这株植物对你友善，没有你的命令，它什么都不会干。</t>
  </si>
  <si>
    <t>沙漏、怀表、手表、挂钟、日晷</t>
  </si>
  <si>
    <t>幽冥音箱</t>
  </si>
  <si>
    <t>这个橘黄色的明亮音箱看起来、鉴定起来和普通音箱完全一致，也具有普通音箱的所有功能。灵魂和虚化的生物可以在位于音箱周围5尺时，用意念（无需任何动作）控制音箱，发出设定好的音乐，或是用无感情的机械音读出操作者当前的思考。某些剧团错把幽冥音箱当成普通音箱购买，因此剧院里的配乐时常闹鬼；某些敬业的军官会携带幽冥音箱，保证自己死去的1分钟内，灵魂尚未离开躯体时，仍然可以继续指挥战场；某些高档医院里也会配备幽冥音箱，以免患者死亡时来不及说明自己的遗产分配情况，引发家属纠纷。</t>
  </si>
  <si>
    <t>锁</t>
  </si>
  <si>
    <t>每把锁与一把钥匙相配套。不使用钥匙时，一个具有盗贼工具的生物，可以花费一分钟通过一次DC15的敏捷（巧手）检定撬开这把锁；或是以一个动作通过一次DC25的敏捷（巧手）检定撬开这把锁。DM可决定是否能够用更高的价格买到更好的锁。</t>
  </si>
  <si>
    <t>斯翠海文三角旗</t>
  </si>
  <si>
    <t>这个魔法旗帜上 印有斯翠海文或其某个学院的标志：衡鉴, 粹丽, 量析, 银毫, 或靡华。当你挥动旗帜时，上面的标志会闪闪发光，旗帜会在10英尺范围内发出明亮光照，在额外外10英尺范围内发出昏暗光照。</t>
  </si>
  <si>
    <t>放大镜、望远镜</t>
  </si>
  <si>
    <t>一枚用以详细观察小物件的透镜。从放大镜中观察到的近处物品能放大两倍。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</si>
  <si>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炼金壶</t>
  </si>
  <si>
    <t>这种陶制壶看起来可以承装1加仑的液体，但无论壶中是空还是满，其重量都是12磅。即使壶内空无一物，摇动它时也依然会发出液体晃动的声音。你可以用一个动作命令此壶产生下表列出液体中的一种。然后，你可以用一个动作打开壶，并以2加仑/分钟速度倒出液体。壶中产生液体的体积最大值取决于你指定的液体类型。从此壶开始生成液体到次日黎明前，它将无法再生成超过其上限的液体或是产生另一种液体。</t>
  </si>
  <si>
    <t>望远镜</t>
  </si>
  <si>
    <t>从望远镜中观察到的远处物品能放大两倍。</t>
  </si>
  <si>
    <t>迷情媚药</t>
  </si>
  <si>
    <t>饮用此药水后10分钟内，你将被你看见的第一名生物魅惑。魅惑效应持续1小时。如果该生物的物种和性别符合你的取向，被魅惑期间你将把它视为自己的真爱。不仔细观察的话，很难发现这种漂浮着气泡的玫瑰色液体中有一个气泡是心形的。</t>
  </si>
  <si>
    <t>肥皂</t>
  </si>
  <si>
    <t>一种重要的清洗用品，一块肥皂能够供中型生物使用十次左右。使用方法包括：
1、中和强酸。使用一个动作，触碰一个生物或物件，用肥皂的碱性去中和酸性。如果某种持续性效应，会使生物或物件在接下来的某个回合开始或结束时承受强酸伤害，那么肥皂可以洗去它。
2、抵消气味。生物可以用一个动作，为自己或相邻的生物洗去气味。这能够移除恶臭引起的中毒，还能在1分钟内，让具有“灵敏嗅觉”的生物通过嗅觉来寻找目标时，不会获得察觉技能上的优势。
3、滑溜泡沫。生物可以用一个附赠动作，为自己或相邻的生物涂上肥皂泡，让其不容易被擒住。直到其下个回合结束，其对抗擒抱或束缚的力量（运动）或敏捷（体操）具有优势。</t>
  </si>
  <si>
    <t>剧毒药水</t>
  </si>
  <si>
    <t>这种药水看起来、闻起来和尝起来都和治疗药水potion of healing 或其他增益药水差不多。但实际上，它是用幻术伪装过的毒药。鉴定术identify可以发现它的本质。饮用此药水后，你受到3d6点毒素伤害并且必须成功通过一次DC 13的体质豁免否则中毒。中毒期间每次你的回合开始时，你受到3d6点毒素伤害。每次你的回合结束时你可以再次尝试豁免。如果豁免成功，则你在接下来的回合中受点毒素伤害减少1d6。当毒素伤害降低至0时，毒药效应终止。</t>
  </si>
  <si>
    <t>面粉（20袋）</t>
  </si>
  <si>
    <t>一种重要的烹饪用品，每袋面粉重1磅。使用方法包括：
1、制造面点。使用厨师工具和10分钟时间，一份面粉可以被制造为一份口粮，例如面包和馒头。
2、识破隐形。生物使用一个动作，向一个相邻的方格撒上面粉，根据面粉的飘落轨迹，可以判断出这个方格是否有隐形的生物。生物沾上面粉后，在1分钟内即使隐形，也会被肉眼发现位置。
3、粉尘爆炸。生物使用一个动作，把面粉洒在空中形成一处半径5尺的粉尘区域。如果该生物的下个回合结束前，这个区域内出现了明火或火焰伤害，粉尘区域会爆炸。区域内的生物需要进行DC10的敏捷豁免，豁免失败则受到4（1d8）火焰伤害，豁免成功则伤害减半。区域内未被着装或携带的物件受到等量伤害。</t>
  </si>
  <si>
    <t>美味尘</t>
  </si>
  <si>
    <t>这瓶红棕色的粉末可以被洒在任意可食用物品上以极大地改善该物品的美味程度。同时，食用被洒上美味尘的食物的人的其他感官将被削弱，并将在接下来一小时内所进行的所有感知检定和豁免上承受劣势。一份美味尘可以被使用6次。</t>
  </si>
  <si>
    <t>口粮（10日份）</t>
  </si>
  <si>
    <t>适合长途旅行携带的高能量干粮，包括牛肉干、干果、饼干和坚果。</t>
  </si>
  <si>
    <t>蕴能木魔杖（“火海”费尼亚）</t>
  </si>
  <si>
    <t>水袋</t>
  </si>
  <si>
    <t>蕴能木魔杖（“永恒白昼”伊瑞安）</t>
  </si>
  <si>
    <t>酒桶</t>
  </si>
  <si>
    <t>奥斯沼泽的药草（柳荫油）</t>
  </si>
  <si>
    <t>奥斯沼泽（Othemoor）丰富原始的自然环境孕育了许多稀有的和备受追捧的药草。那些草药师、炼金术士和香料商人们经常到奥斯来给他们的店铺进行补给。以下是一些经常在奥斯中出售的药草产品：柳荫油Willowshade Oil。从一种名为柳荫的植物的果实中可以提取出一种深蓝色的油。一名生物可以花费一个动作将这种油涂抹到另外一个陷入石化不到1分钟的生物上，该生物的石化状态将在该生物的下一个回合开始时结束。</t>
  </si>
  <si>
    <t>双人帐篷</t>
  </si>
  <si>
    <t>不动权杖</t>
  </si>
  <si>
    <t>这根铁制权杖的一端设有一按钮。如果你用一个动作按下按钮，权杖的魔法将把它固定在原地。权杖将保持不动（即使这违反重力）直到你或另一名生物用一个动作再次按下按钮。权杖最多能负载8,000磅的重量，超过则权杖的效应自动关闭并掉落。任一生物可以用一个动作进行一次DC 30的力量检定，成功则可以将权杖移动至多10尺。</t>
  </si>
  <si>
    <t>滑轮组</t>
  </si>
  <si>
    <t>一组滑轮组，其中配有一根绳索绕过轮组中，其上还装着一个系物的钩子。滑轮组可以让你提起相当于你正常举重四倍重量的物件。</t>
  </si>
  <si>
    <t>血踪弹药</t>
  </si>
  <si>
    <t>使用这种弹药向生命值不为满的生物发起的远程攻击检定具有优势。</t>
  </si>
  <si>
    <t>撬棍</t>
  </si>
  <si>
    <t>在适当的地方使用撬棍时，可以让相应的力量检定具有优势。</t>
  </si>
  <si>
    <t>巨人陨落之投石索</t>
  </si>
  <si>
    <t>当你用这把魔法投石索发动的攻击检定命中了一个生物类型为巨人Giant的生物，那个生物必须通过一次DC18的体质豁免，豁免失败就将陷入 倒地Prone 状态。在《风暴君王之雷霆》模组中，巨人陨落之投石索的价格提高为4500gp。</t>
  </si>
  <si>
    <t>钓鱼工具</t>
  </si>
  <si>
    <t>一套渔具工具包中，装有一根长杆、丝线、软木转轴、铅坠、天鹅绒饵以及窄眼网。结合感知（生存）可以尝试钓鱼。</t>
  </si>
  <si>
    <t>魅惑镜片</t>
  </si>
  <si>
    <t>这种水晶镜片可以着装到眼睛上。魅惑镜片有3发充能。着装该镜片时，如果你和你周围30尺内的一名类人生物能够互相看见对方，则你可以用一个动作并消耗1发充能来对它施展法术“魅惑人类Charm Person”。镜片消耗掉的充能将在每天黎明时恢复。</t>
  </si>
  <si>
    <t>书画工具</t>
  </si>
  <si>
    <t>书画工具包括墨水、一打羊皮纸，三支羽毛笔，还有画架、画布、颜料、画笔、炭笔，还有调色板。结合智力（奥秘）可以尝试抄录或撰写魔法符号。</t>
  </si>
  <si>
    <t>斯翠海文可爱抱偶</t>
  </si>
  <si>
    <t>这个柔软的、小小的魔法玩具代表 了斯翠海文的吉祥物之一，是用来拥抱的最佳选择。如果你使用一个动作把它按在你的手臂、肩膀或腿上，这个玩具会保持在那里1小时，或者直到你用一个动作把它拿开。这个玩具也可以用来抵御恐惧。当你为避免或结束自己的恐慌状态而进行豁免时，如果玩具在你身上，你可以让自己在投掷时获得优势。你必须在掷出 D20之前决定这样做。如果豁免成功，你就不能再以这种方式使用该玩具，直到你完成一次长休。</t>
  </si>
  <si>
    <t>厨师工具</t>
  </si>
  <si>
    <t>厨师工具包括一个金属锅、餐刀、餐叉、一柄搅拌勺，和一柄长柄勺。结合感知（生存）可以尝试烹饪。</t>
  </si>
  <si>
    <t>荒宇系仪</t>
  </si>
  <si>
    <t>在荒宇系中，这个便携奥法装置会自动跟踪标记星系中所有恒星、行星、卫星和彗星的位置和其运动轨迹，并在其当前位置上方的空间中投射出所有这些天体的影像。在投影中，一个白色的跳动光点会标明荒宇系仪当前所处的位置。</t>
  </si>
  <si>
    <t>制药工具</t>
  </si>
  <si>
    <t>制药工具包括装药材的袋子、采集草药的剪钳和皮手套、研钵和药杵，以及几个玻璃瓶。还有一些化学制剂，和一根玻璃搅拌棒。结合感知（医药）可以尝试制造药剂或毒药。</t>
  </si>
  <si>
    <t>风水轮</t>
  </si>
  <si>
    <t>风水轮是一种船舵，若是将它安装在一艘元素帆船或飞艇上，那么风水轮允许一个持有风暴龙纹的生物通过心灵感应控制被束缚在飞船内的元素。如果风水轮被安装在一艘普通的航船上，那么一位持有风暴龙纹的生物在使用轮子时，可以在船只周围创造理想的航行环境，使其速度增加5里/小时。</t>
  </si>
  <si>
    <t>锻造工具</t>
  </si>
  <si>
    <t>锻造工具包括锤子、钳子、刻刀、锯子、磨刀石等用品。结合力量（运动）可以尝试制造较大的物品，结合敏捷（巧手）可以尝试制造较小的物品。</t>
  </si>
  <si>
    <t>攀爬绳</t>
  </si>
  <si>
    <t>这条60尺长的丝质绳索重3磅，可以承受3000磅的重量。你可以握住绳索的一端并用一个动作说出命令语以使绳索活化。以一个附赠动作，你可以命令绳索的另一端向你指定的目的地移动。从你下达命令的回合开始，绳索的另一端在你的每个回合移动10尺，直到到达目的地、长度不足或你命令它停止。你也可以命令绳索牢牢绑在一个指定物体上，或是松绑、打结、解结、卷起。如果你命令攀爬绳打结，它将每隔1尺打一个大结。打结将使绳索长度缩短为50尺，但你在使用绳索进行攀爬时具有优势。绳索拥有AC 20和60点生命值。只要还剩至少1点生命值，绳索就能每5分钟恢复1点生命值。如果绳索的生命值降至0，则它被摧毁。</t>
  </si>
  <si>
    <t>盗贼工具</t>
  </si>
  <si>
    <t>整套的工具包括一把细锉刀、一套撬锁工具、一个附炳小镜、一把尖嘴剪和一把镊子。结合敏捷（巧手）可以尝试开锁或解除陷阱。</t>
  </si>
  <si>
    <t>觅音师</t>
  </si>
  <si>
    <t>这个发条装置类似于一个餐盘大小的金属螃蟹。每次给这个装置上紧发条时，都允许它行动1分钟，至多10分钟。在运行时，该物品使用相应的觅音师统计数据（见下）。这个自动机在DM的控制之下。一个降低到0点生命值觅音师的会被摧毁。</t>
  </si>
  <si>
    <t>攀爬工具</t>
  </si>
  <si>
    <t>一套攀爬工具包括特制的岩钉，靴子包头，手套和系带。你可以用一个动作来运用攀爬工具锚定自己；此时你不会从锚定处摔落超过25尺，且在解除锚定前无法从锚定处向外攀爬超过25尺。</t>
  </si>
  <si>
    <t>假眼</t>
  </si>
  <si>
    <t>这只人造眼会替代失去或者移除的一只真眼。你可以透过这个小球体去看，就像那是一只正常的眼睛。它成为了你身体的一部分。即使在魔法失效的区域也能正常工作。你可以用一个动作将其着装或者卸装，它不能在你非自愿的情况下被移除。它会在你死的时候脱落。</t>
  </si>
  <si>
    <t>领航工具</t>
  </si>
  <si>
    <t>导航的工具包括六分仪、罗盘、卡尺、直尺、羊皮纸、墨水和鹅毛笔。结合感知（生存）可以尝试找到方向。</t>
  </si>
  <si>
    <t>假肢</t>
  </si>
  <si>
    <t>这件物品替代了一处缺失的肢体——一只手，一只臂，一条腿或类似的身体部分。肢体安装后，其功能与被替换的肢体相同。它成为了你身体的一部分。即使在魔法失效的区域也能正常工作。你可以用一个动作将其着装或者卸装，它不能在你非自愿的情况下被移除。它会在你死的时候脱落。</t>
  </si>
  <si>
    <t>医疗包</t>
  </si>
  <si>
    <t>一个医疗用小皮包中，装有绷带、药膏和夹板。医疗包可以使用十次。结合感知（医药）可以尝试帮助昏迷的生物。</t>
  </si>
  <si>
    <t>能量吐息药水</t>
  </si>
  <si>
    <t>共有五种不同的能量吐息药水，对应火焰、寒冷、闪电、雷鸣、强酸五种不同的伤害类型。饮用此药水后，你可以用一个附赠动作向你周边30尺内的一个目标喷出锥形的能量。目标必须进行一次DC 13的敏捷豁免，豁免失败受到4d6点伤害，豁免成功则伤害减半。药水的效应在你喷出三次能量或1小时后终止。这瓶橙色的药水不停闪烁着，瓶中没有药水的部分则充满了烟雾。打开容器时烟雾将飘出。</t>
  </si>
  <si>
    <t>便携式攻城锤</t>
  </si>
  <si>
    <t>你可以使用一具便携式攻城锤破门。此时你破门的力量检定具有+4加值。如果另一名角色从旁协助，则你破门的力量检定因此而具有优势。</t>
  </si>
  <si>
    <t>喷嚏粉</t>
  </si>
  <si>
    <t>这种细沙般的粉末通常被装在小盒子里，其分量足够使用一次。这种粉末看起来像是无踪粉dust of disappearance，对其施展鉴定术identify也会给出这样的结果。你可以用一个动作把这种粉末洒向空中。此时，你和你周围30尺内任何需要呼吸的生物必须进行一次DC 15的体质豁免，失败者将因不停打喷嚏而无法呼吸。受此影响的生物将陷入失能并窒息。只要受影响的生物依然清醒，它就能在每次自己的回合结束时再次进行该豁免。一旦豁免成功，其自己身上的效应也将随之终止。法术次级复原术lesser restoration 也可以终止一名生物身上的该效应。</t>
  </si>
  <si>
    <t>鞍具</t>
  </si>
  <si>
    <t>鞍座用以稳固骑师坐姿，保证其在骑乘战斗中的自由活动。使用鞍座时，你为维持骑乘姿势所进行的任何检定都具有优势。另外，水栖和飞行坐骑只能使用特别制作的鞍座。</t>
  </si>
  <si>
    <t>魔力药水（二环）</t>
  </si>
  <si>
    <t>法术书</t>
  </si>
  <si>
    <t>硬皮封面的法术书是法师们的必须品，为方便记录法术，其通常都留有100张羊皮纸空书页。</t>
  </si>
  <si>
    <t>异能塑像（白银渡鸦）</t>
  </si>
  <si>
    <t>异能塑像是小到可以装在口袋里的野兽雕像。当你用一个动作说出命令语并把雕像扔到你周围60尺以内的某处时，它将变成一只活体生物。如果雕像被扔到的地方被其他生物或物件占据，或者周围的空间不足以容纳该雕像变成的生物，则它将不会变成生物。
雕像变成的生物对你和你的同伴态度友善。它能听懂你的语言并会按你的口头命令行事。如果你不下达任何命令，则该生物会保护自己而不作其他动作。  
生物存在的时间依雕像而不同。持续时间结束时，生物将变回异能塑像形态。它的生命值降至0，或你用一个动作碰触它并说出命令语时，它将提前变回雕像状态。变回雕像后，异能塑像的属性必须经过一段时间后才能再次启动，时间长短依雕像种类而不同。
史前异能塑像比经典的异能塑像更大，这些经由更粗犷的雕刻的雕像呈现出恐龙或者与之相关的史前生物的姿态。</t>
  </si>
  <si>
    <t>秘术墨水（1盎司瓶）</t>
  </si>
  <si>
    <t>用珍珠粉、远古木炭、龙涎等珍贵材料制造的墨水，可以承载法术文字的神秘力量，秘术墨水也能够防水。</t>
  </si>
  <si>
    <t>饰品法杖</t>
  </si>
  <si>
    <t>如果你在持握时放置一个不超过一磅重的物体（例如水晶的碎片，鸡蛋或者石头）在法杖的顶端，这个物品会在法杖顶端一寸的位置缓慢地漂浮并循环往复直到其被移除或者法杖不再为你所控。这根法杖同一时间最多有三样这种物品漂浮于其顶端周围。持握法杖时，你可以选择令一个物品缓慢旋转或者变回放置状态。</t>
  </si>
  <si>
    <t>材料包</t>
  </si>
  <si>
    <t>材料包是一个防水的皮质小包，其内有间格用以放置各种材料成分以及其它你需要用以施展法术的特殊物品。某些有着特定价格的材料不包含在材料包中（详见相关法术的描述内容）。</t>
  </si>
  <si>
    <t>鸟鸣法杖</t>
  </si>
  <si>
    <t>这根木质法杖以鸟的雕像为饰。它拥有十发充能，当持握其时，可以用一个动作消耗一发这根法杖的充能，创造一个可以在六十尺范围内能被听到的下列声音：麻雀啾啾，乌鸦报丧，鸭子嘎嘎，家鸡打鸣，大鹅咳咳，潜鸟啁啁，火鸡咯咯，海鸥啼哭，夜枭呵斥，老鹰长啸。这根法杖每天黎明恢复1d6+4发已消耗的充能。当充能耗尽时，骰一次d20。如果骰值为1，法杖将在一阵无害的鸟形云雾中爆炸并且永远消失。</t>
  </si>
  <si>
    <t>乐器</t>
  </si>
  <si>
    <t>风笛、鼓、扬琴、里拉琴、鲁特琴、提琴、吉他、钢琴、排箫、陶笛、号角、长笛等可以用于表演的道具是乐器。吟游诗人可以用乐器作为法器。</t>
  </si>
  <si>
    <t>鲜花法杖</t>
  </si>
  <si>
    <t>这根木质法杖拥有十发充能，当持握其时，可以用一个动作消耗一发这根法杖的充能使你五尺内的一块地面或者土壤上开出花一朵。除非你选择特定的花朵，否则会开出一朵有点香味的雏菊。这朵花是无害且没有魔法的。且其会像正常花朵一样成长。这根法杖每天黎明恢复1d6+4发已消耗的充能。当充能耗 尽时，骰一次 d20。如果骰值为 1，法杖将在变成一堆花瓣并且永远消失。</t>
  </si>
  <si>
    <t>奥术法器</t>
  </si>
  <si>
    <t>奥术法器是一件用来引导奥术法术的特殊物品，它可以是一枚法球、一块水晶、一只权杖、一根特制法杖、一根魔杖般的长木条或是其它类似的物品。术士、邪术师或法师能将这样的物品用作施法法器。</t>
  </si>
  <si>
    <t>复仇之剑</t>
  </si>
  <si>
    <t>你在用该魔法武器发动攻击检定和伤害掷骰时获得+1加值。诅咒Curse。这把剑被寄宿其中一个渴望复仇的精魂所诅咒，与之同调的生物将受到其诅咒影响。只要诅咒还在生效，你总是会把剑带在身边，不愿与它分开。与这把剑的同调持续期间，你在用其他武器进行的攻击检定和伤害掷骰具有劣势。持握该剑时，每当你在战斗中受到伤害，你就必须进行一次DC15的感知豁免。如果豁免失败，则你必须持续攻击对你造成伤害的生物，直到你的生命值降至0或你的无法到达近战攻击距离以对该发动近战攻击为止。你可以用常见方式解除剑上的诅咒，也可以对剑施展“放逐术Banishment”以驱逐其中寄宿的复仇精魂。此后，这把剑将变为一把普通的+1武器。移除诅咒后，复仇之剑的价格提高为500gp。</t>
  </si>
  <si>
    <t>圣徽</t>
  </si>
  <si>
    <t>一枚圣徽是某个神袛或神系象征。它可能是一个描绘有代表一个神袛符号的护身符，相同的符号可能作为一个徽章被仔细地雕刻或镶嵌在一面盾牌上，也可能是一个盛有一块神圣遗物碎片的小盒。牧师或圣武士能将圣徽用作其施法的法器。使用这些圣徽时，施法着必须将其握在手中，戴在身上可见处，或者将其装在盾上使用。</t>
  </si>
  <si>
    <t>杂虫帽</t>
  </si>
  <si>
    <t>这个帽子有三发充能。当你戴着这顶帽子时你可以以一个动作消耗其一发充能说出命令语召唤由你选择的蝙蝠，青蛙或者老鼠。这种召唤生物魔法般出现并尽可能地努力远离你。这种生物既不友好也不敌对，并且不受你的控制。他们表现的像是个普通生物并在一小时后或者生命值归零时消失。每天黎明时分这顶帽子恢复所有已经消耗的充能。</t>
  </si>
  <si>
    <t>德鲁伊法器</t>
  </si>
  <si>
    <t>德鲁伊法器是一件用来引导德鲁伊法术的特殊物品。它可以是一枝槲寄生或冬青，一根用紫杉木或其它特殊木材制作的魔杖或节杖，一根从活树上折下的法杖或是一个包含神圣动物身上的羽毛、毛皮、骨头和牙齿组合成的图腾。德鲁伊能将这样的物品用作其施法的法器。</t>
  </si>
  <si>
    <t>羽落硬币</t>
  </si>
  <si>
    <t>这枚小巧的金属圆片上刻有羽毛的图像。当你在带着这枚硬币的情况下摔落至少20尺时，你将改为以每轮60尺的速度飘落，从而免受坠落伤害。当你着陆后，硬币上的魔法就消散了，圆片变为了非魔法物品。</t>
  </si>
  <si>
    <t>火绒盒、打火石</t>
  </si>
  <si>
    <t>一个小巧的盒子里装有燧石，铁片和火绒（通常是在轻油中浸过的干布），是一种常用的生火工具。使用火绒盒点燃一支火把（或其他燃料物质外露的物件）需要使用一个动作，而用来点燃其他物品则需要花费1分钟。</t>
  </si>
  <si>
    <t>诺泽尔的惊奇颜料</t>
  </si>
  <si>
    <t>这种颜料通常1d4罐一组和画笔一起装在精美的木盒里（共重1磅）。它可以把你在二维平面上画出的东西变为三维实体。当你用心画下图案时，它将从笔尖跃动而出，形成你想要的形状。每一罐颜料可以涂满1000平方尺的面积，创造出至多10000立方尺的无生命物件或地形特征（比如一扇门、一个坑、鲜花、大树、小房间、大房间或是武器）。每绘制100平方尺需要花费10分钟。你绘制完成的物件或地形将变为真实的非魔法物件。因此，画在墙上的门可以正常打开并通过，画在地上的坑也会变成真正的坑，其内部区域计入你创造的物件总体积。颜料不能创造出比25金币更贵重的东西。如果你试图制造更贵重的东西（例如钻石或金块），产生的物件仅仅看上去像是真的，但仔细检查就会发现它是由浆糊、骨头或其他不值钱的材料拼成。如果你画出某种形式的能量（例如火焰或闪电），则该能量在你完成绘制的一瞬间就会消散，不会造成任何伤害。</t>
  </si>
  <si>
    <t>蜡烛（10支）</t>
  </si>
  <si>
    <t>一只蜡烛可以为其身边5尺半径范围提供明亮光照，以及该范围外5尺的微光光照。蜡烛的照明效果可以持续1小时。</t>
  </si>
  <si>
    <t>卡夫统灵药</t>
  </si>
  <si>
    <t>这个直径3寸的玻璃瓶中装着1d4+1剂闻起来隐约有芦荟气味的混合剂。瓶子和混合剂共重1/2磅。用一个动作可以吞下一剂软膏，或为一个自愿生物外敷一剂软膏。软膏将为使用它的生物恢复2d8+2点的生命值，并解除毒素和治愈任何疾病。</t>
  </si>
  <si>
    <t>灯油（20瓶）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</si>
  <si>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</si>
  <si>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至尊胶</t>
  </si>
  <si>
    <t>这种白浊粘稠的物质可以把任何两件物体永久性的粘在一起。至尊胶必须被储存在一个内壁涂满了滑溜之油oil of slipperiness的瓶子或罐子中。新发现的这类容器中通常装有1d6+1盎司的至尊胶。每盎司至尊胶可以覆盖1平方尺的表面，并在1分钟后凝固。一旦至尊胶凝固，被粘在一起东西就只能用万溶剂universal solvent、以太化之油oil of etherealness或祈愿术wish分开。</t>
  </si>
  <si>
    <t>油灯</t>
  </si>
  <si>
    <t>一只油灯可以为其身边15尺半径范围提供明亮光照，以及该范围外30尺的微光光照。点亮的油灯每6小时消耗一扁瓶灯油（1品脱）。</t>
  </si>
  <si>
    <t>蕴能木法杖（“永恒白昼”伊瑞安）</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</si>
  <si>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</si>
  <si>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</si>
  <si>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蕴能木法杖（“混沌漩涡”奇斯瑞）</t>
  </si>
  <si>
    <t>牛眼提灯</t>
  </si>
  <si>
    <t>一盏牛眼提灯可以为前方60尺的锥状区域提供明亮光照，以及该范围外60尺的微光光照。点亮的牛眼提灯每6小时消耗一扁瓶的灯油（1品脱）。</t>
  </si>
  <si>
    <t>蕴能木法杖（“破晓森林”拉玛尼亚）</t>
  </si>
  <si>
    <t>火把</t>
  </si>
  <si>
    <t>一支火把可以为其身边20尺半径范围提供明亮光照，以及其外20尺范围的微光光照。火把的照明效果可以持续1小时。你还可以使用一支燃烧的火把发动一次近战攻击，命中时，该攻击可以造成1点火焰伤害。</t>
  </si>
  <si>
    <t>蕴能木法杖（“永恒黑夜”玛伯尔）</t>
  </si>
  <si>
    <t>羽箭（20支）</t>
  </si>
  <si>
    <t>蕴能木法杖（“冰川”瑞西亚）</t>
  </si>
  <si>
    <t>弩矢（20支）</t>
  </si>
  <si>
    <t>一只木匣能装20支弩矢。</t>
  </si>
  <si>
    <t>蕴能木法杖（“疯狂国度”瑟瑞奥特）</t>
  </si>
  <si>
    <t>投石索弹丸（20块）</t>
  </si>
  <si>
    <t>增强弹药+3</t>
  </si>
  <si>
    <t>铁蒺藜</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</si>
  <si>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</si>
  <si>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磨刀石+1</t>
  </si>
  <si>
    <t>花费一分钟将一件人造武器打磨后，磨刀石会被消耗，而这把武器接下来发动的二十次近战攻击，在攻击检定和伤害掷骰上获得加值。加值的数值取决于磨刀石的稀有度。磨刀石的加值与魔法武器的加值不叠加，取较高者生效。</t>
  </si>
  <si>
    <t>滚珠（1包1000粒）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</si>
  <si>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</si>
  <si>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巨人之力药水（山丘巨人）</t>
  </si>
  <si>
    <t>巨人之力药水共有六种，价格各有不同，分别对应六种巨人。透明的药液中漂着一点对应类型巨人的指甲碎片。饮用后，提供不同的力量值和力量属性上限，持续1小时。山丘巨人：力量+2，不能超过24。</t>
  </si>
  <si>
    <t>圣水（1盎司瓶）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</si>
  <si>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t>
  </si>
  <si>
    <t>巨人之力药水（石巨人）</t>
  </si>
  <si>
    <t>巨人之力药水共有六种，价格各有不同，分别对应六种巨人。透明的药液中漂着一点对应类型巨人的指甲碎片。饮用后，提供不同的力量值和力量属性上限，持续1小时。石巨人：力量+2，不能超过24。</t>
  </si>
  <si>
    <t>抗毒剂（1盎司瓶）</t>
  </si>
  <si>
    <t>喝下瓶内液体的生物在1小时内进行对抗对毒素的豁免检定时具有优势。它无法为不死生物或构装生物提供任何增益。</t>
  </si>
  <si>
    <t>铭记药水（4环）</t>
  </si>
  <si>
    <t>炽火胶（1盎司瓶）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</si>
  <si>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</si>
  <si>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夸尔羽符（鞭）</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</si>
  <si>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鞭：你可以用一个动作将这枚羽符扔出至多10尺。羽符将消失，取而代之的是一条悬浮在空中的长鞭。你可以用一个附赠动作让长鞭对它周围10尺内的一名生物发动近战法术攻击，攻击加值+9。如果攻击命中，目标将受到1d6+5点力场伤害。</t>
  </si>
  <si>
    <t>强酸（1盎司瓶）</t>
  </si>
  <si>
    <t>你可以用一个动作将这小瓶液体泼溅到你身边5尺内的一个生物身上，或是将小瓶投到至多20尺远的地方，并利用冲击打破它。两种情况都可以视为对一个生物或物件发动一次远程攻击，并将强酸视为一件临时武器。命中时，目标受到2d6点强酸伤害。</t>
  </si>
  <si>
    <t>增强盾牌+1</t>
  </si>
  <si>
    <t>持握此盾牌时，你将依据盾牌本身的AC加值基础上获得额外的加值。加值的数值取决于该盾牌的稀有度。</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</si>
  <si>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</si>
  <si>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</si>
  <si>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念珠项链（印记斩）</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</si>
  <si>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珠子类型：打击；法术：印记斩</t>
  </si>
  <si>
    <t>眼罩</t>
  </si>
  <si>
    <t>花费一个动作，可以让一个不能反抗或不想反抗的生物戴上眼罩，遮蔽它的视觉。常见的眼罩适用于具有两只眼睛的生物，而针对单眼或多只眼睛的眼罩，需要定制。如果一个生物的所有眼睛都被眼罩蒙住，它处于“目盲”状态。
被蒙住眼睛的生物，如果手可以自由活动，它可以用一个交互动作摘下眼罩。生物进行传送不会让眼罩脱落，眼罩会被视为“生物着装或携带的物件”，与生物一同传送。</t>
  </si>
  <si>
    <t>枯滩私货（枯脓水）</t>
  </si>
  <si>
    <t>灾祸之战后的密斯卡斯海岸（Miskath Strand）的独特环境产生了许多奇怪的新物质，它们可以为高尚或非法的目的而栽培。然而，事实证明，对这些奇怪药物的监管很困难，因为它们奇特的特性常常让那些想要颠复它们可疑用法的人感到困惑。因此，尽管生产存在不可避免的风险，但供需保持稳定。
枯脓水Blight lchor。这种苦涩的黄绿色混合物是从枯滩（Blightshore）贫瘠土地上的一种真菌中蒸馏出来的。这种病态的绿色烧酒具有强烈的迷幻特性。除构装体和不死生物外，受到一定剂量枯脓水影响的生物，在1小时内，其智力和感知检定获得优势，且对精神伤害易伤。每消耗一剂枯脓水，该生物必须成功通过 DC15 体质豁免，否则将中毒 1d6 小时并受到混乱法术的影响 1 分钟。受到一定剂量枯脓水影响的不死生物在所有敏捷检定中获得优势，并且在 1 小时内免疫恐慌。</t>
  </si>
  <si>
    <t>耳蜡</t>
  </si>
  <si>
    <t>花费一个动作，可以让一个不能反抗或不想反抗的生物的耳朵被蜡封住，遮蔽它的听觉。常见的耳蜡适用于具有两只耳朵的生物，而针对单耳或多只耳朵的耳蜡，需要定制。如果一个生物的所有耳朵都被耳蜡封住，它处于“耳聋”状态。
被塞住耳朵的生物，如果手可以自由活动，它可以用一个交互动作取出耳蜡。生物进行传送不会让耳蜡脱落，耳蜡会被视为“生物着装或携带的物件”，与生物一同传送。</t>
  </si>
  <si>
    <t>唤鼠乐笙</t>
  </si>
  <si>
    <t>你必须拥有表演技能熟练项才能使用该乐笙。与唤鼠乐笙同调时，普通老鼠和巨鼠对你的态度变为冷漠。除非你威胁或伤害它们，否则它们不会主动攻击你。唤鼠乐笙有3发充能。你可以用一个动作吹奏它，然后用一个附赠动作消耗1到3发充能。如果你周围半里内有足够可供召唤的老鼠（由DM决定），那么每消耗1发充能就能召唤1个鼠群swarm of rats（资料见《怪物图鉴》）。如果范围内老鼠的数量不足以形成集群，则该次充能被耗用。被召唤的集群以最短路线靠近唤鼠乐笙被吹响的地方，但并不受你控制。唤鼠乐笙在每天黎明时恢复1d3发充能。吹奏唤鼠乐笙时，你可以对你周围30尺内一个未被他人控制的鼠群进行感知检定，对抗集群的感知检定。如果你在对抗中落败，则集群会按通常的行为模式行动，并且在24小时内不会再被唤鼠乐笙影响。如果你在对抗中获胜，那么集群会被乐笙的音乐控制。你在每个自己的回合以一个动作吹奏唤鼠乐笙期间，该鼠群对你和你的同伴态度友善。你没下达命令时，它会尽力保护自己，但不会执行其他动作。如果一个友善的鼠群在其自己的回合开始时无法听到唤鼠乐笙的声音，则该集群会按通常的行动模式行动，并且在24小时内不再被乐笙的音乐影响。</t>
  </si>
  <si>
    <t>口塞</t>
  </si>
  <si>
    <t>花费一个动作，可以让一个不能反抗或不想反抗的生物的嘴巴被堵住，阻止它说话、进食、饮水。常见的口塞适用于具有一张嘴的生物，而针对多张嘴的口塞，需要定制。如果一个生物的所有嘴都被塞住，它不能说话，最多只能发出呜咽。
被堵住嘴的生物，如果手可以自由活动，它可以用一个交互动作取出口塞。生物进行传送不会让口塞脱落，口塞会被视为“生物着装或携带的物件”，与生物一同传送。</t>
  </si>
  <si>
    <t>闪电标枪</t>
  </si>
  <si>
    <t>这把标枪是魔法武器。当你投掷它并说出命令语时，它将转变为一道5尺宽的闪电束，向120尺内的某个目标飞去。闪电经过的直线上除你和目标之外的每个生物必须进行一次DC 13的敏捷豁免，失败则受4d6点闪电伤害，成功则伤害减半。闪电束到达目标时变回标枪并对目标发动一次远程攻击。如果攻击命中，则目标将受标枪的伤害外加4d6点闪电伤害。标枪的这个属性直到次日黎明前都无法再次启动，但你仍然可以把它当做普通魔法武器使用。</t>
  </si>
  <si>
    <t>镣铐</t>
  </si>
  <si>
    <t>花费1分钟，可以让一个不能反抗或不想反抗的生物戴上镣铐，将它困住。常见的镣铐适用于中型生物，而适用于其它体型生物的镣铐需要定制。被镣铐困住的生物处于“束缚”状态，被镣铐束缚的生物也不能使用它的手。
脱离镣铐的常见方法有以下几种：
1、被困住的生物可以用一个动作尝试滑出镣铐，这必须成功通过一次DC20的敏捷检定。若是在该检定中失败，则在一天内无法再次对同一镣铐进行尝试。
2、触碰到镣铐的生物，则可以用一个动作尝试破坏镣铐，这必须成功通过一次DC20的力量检定。若是在上述检定中失败，则该生物在一天内无法再次对同一镣铐进行尝试。
3、每套镣铐配有一把对应的钥匙，可以使用钥匙以一个交互动作打开镣铐。不用钥匙时，持握盗贼工具的生物可以用一个动作进行DC15的敏捷（巧手）检定，检定成功则打开镣铐的锁。若是在上述检定中失败，则该生物在一天内无法再次对同一镣铐进行尝试。
4、镣铐是坚固的钢铁制品，具有AC19、20点伤害阈值。中型镣铐的生命值为150点，更大的镣铐的生命值参见“基础规则-生物与物件-物件的资料-物件体型与生命值”。将镣铐打碎，可以释放出被困的生物。
5、被困的生物进行传送，可以离开镣铐。</t>
  </si>
  <si>
    <t>通晓语言头盔</t>
  </si>
  <si>
    <t>着装这顶头盔时，你可以用一个动作随意施展“通晓语言Comprehend Language”。</t>
  </si>
  <si>
    <t>窃贼套组</t>
  </si>
  <si>
    <t>包括一个背包、一包1000粒的滚珠、10尺弦线、一个铃铛、五支蜡烛、一根撬棍、一把锤子、十支岩钉、一盏附盖提灯、两支扁瓶灯油、五天份口粮、一个火绒盒、和一个水袋。背包外还挂着50尺麻绳。</t>
  </si>
  <si>
    <t>发条护身符</t>
  </si>
  <si>
    <t>这个铜制的护身符连接着数个互相咬合的齿轮，并且其魔法力量来自于机械镜，一个可以由发条装置预测的位面。把耳朵放在护符上的生物可以听到模糊的滴答声和呼呼的噪音从里面传来。当你佩戴着这个护身符进行一次攻击检定时，你可以放弃掷骰并在骰值上取10。一旦使用，直到下一个黎明这种特性都不能再次使用。</t>
  </si>
  <si>
    <t>大使套组</t>
  </si>
  <si>
    <t>包括一个箱子、两个地图或卷轴匣、一套高档服装、一瓶墨水、一支墨水笔、一盏油灯、两支扁瓶灯油、五张纸、一支小瓶香水、一块封蜡和一块肥皂。</t>
  </si>
  <si>
    <t>读心勋章</t>
  </si>
  <si>
    <t>这枚勋章有3发充能。着装勋章时，你可以用一个动作并消耗1发充能使用“侦测思想Detect Thoughts”。勋章每天黎明时恢复1d3发充能。</t>
  </si>
  <si>
    <t>地城套组</t>
  </si>
  <si>
    <t>包括一个背包、一根撬棍、一把锤子、十支岩钉、十支火把、一个火绒盒、十天份口粮和一只水袋。背包外还挂着50尺麻绳。</t>
  </si>
  <si>
    <t>背景音箱</t>
  </si>
  <si>
    <t>这个深灰色的音箱可以储存最多十首歌，总长度最多1小时。用一个动作按下按钮，可以让它开始或结束播放，有一次性播放、单曲循环、列表循环等多种选项。音箱的声音调节到最大时，可以在600尺外被听到。</t>
  </si>
  <si>
    <t>艺人套组</t>
  </si>
  <si>
    <t>包括一个背包、一卷铺盖、两套表演服装、五支蜡烛、五天份口粮、一个水袋和一套易容工具。</t>
  </si>
  <si>
    <t>魔力钥匙</t>
  </si>
  <si>
    <t>在昆达拉克家族的工作中，这把小巧的制式钥匙扮演着重要角色。当你施展警报术、秘法锁或是守卫刻文时，你可以将法术效果与魔力钥匙连接起来，如此持有它的人就可以获悉警报术发出的警报，或是打开秘法锁法术上的锁，以及避免触发守卫刻文。此外，持有者（不必与魔力钥匙同调）可以花费一个动作来终止一个与魔力钥匙连接的法术，不过他必须知晓一个专门用来终止法术的命令词，这个词由你设置。</t>
  </si>
  <si>
    <t>探索套组</t>
  </si>
  <si>
    <t>包括一个背包、一卷铺盖、一套野炊工具、一个火绒盒、十支火把、十天份口粮和一个水袋。背包外还挂着50尺麻绳。</t>
  </si>
  <si>
    <t>永明提灯</t>
  </si>
  <si>
    <t>这盏牛眼提灯里设置了一块艾伯伦龙晶，使得其发光方式类似不灭明炎。一盏永明提灯能发出120尺锥形光芒，其中头60尺为明亮照度，后60尺则为昏暗照度。</t>
  </si>
  <si>
    <t>祭司套组</t>
  </si>
  <si>
    <t>包括一个背包、一条毯子、十支蜡烛、一个火绒盒、一个募捐盒、两块熏香、一个香炉、祭袍、两天份口粮和一只水袋。</t>
  </si>
  <si>
    <t>无踪粉</t>
  </si>
  <si>
    <t>这是一些装在小包里的细沙般的粉末，其分量足够使用一次。你可以用一个动作将粉末洒向空中，使得你和你周围10尺内的生物和物件隐身2d4分钟（持续时间对所有受影响的对象一致）。粉末一经使用即被消耗。如果一名受影响的生物做出危害性举动，则该生物的隐形效应也随之终止。</t>
  </si>
  <si>
    <t>学者套组</t>
  </si>
  <si>
    <t>包括一个背包、一本学科书、一瓶普通墨水，一只墨水笔，十张羊皮纸，一小袋沙和一把小刀。</t>
  </si>
  <si>
    <t>守护卷轴</t>
  </si>
  <si>
    <t>每张守护卷轴仅针对一种特定类型的生物起效。可选生物类型为异怪、野兽、天界生物、元素、精类、邪魔、植物、不死生物之一。用一个动作阅读这张卷轴后，一道半径5尺，高10尺的圆柱形隐形屏障将在你周围展开。在屏障持续的5分钟内，屏障会阻止指定类型生物进入屏障范围或影响屏障内的任何事物。屏障以你为中心移动。如果你主动移动使指定类型的生物进入屏障范围，则屏障的效应立即终止。一名指定类型的生物可以用一个动作进行一次DC 15的智力检定以尝试突破屏障，成功则终止该效应对它的影响。</t>
  </si>
  <si>
    <t>黄金之冰</t>
  </si>
  <si>
    <t>接触；智力，DC17；这个处感冰冷的晶质物体除了地狱般的高温之外无法用任何方式熔解。碰触的邪恶生物将会感觉到它的冰冷正在体内蔓延。只有邪恶生物会被黄金之冰影响，豁免失败则承受1d8点敏捷属性损伤。</t>
  </si>
  <si>
    <t>蕴能木权杖（“永恒黑夜”玛伯尔）</t>
  </si>
  <si>
    <t>黑莲花余烬</t>
  </si>
  <si>
    <t>接触；体质，DC18；将在沼泽中生长的剧毒黑莲花烧成灰烬，能够得到一种漆黑的粉末。碰触的生物感到灼烧的刺痛，肌肉萎缩无力。豁免失败的生物承受1d8点力量属性损伤。</t>
  </si>
  <si>
    <t>蕴能木权杖（“冰川”瑞西亚）</t>
  </si>
  <si>
    <t>夜露</t>
  </si>
  <si>
    <t>接触；感知，DC16；食尸鬼之王有时会化身为形状不定的阴云，巡视它的国度。它所经过的地方，午夜时可能凝结出少许阴暗的露珠。活物只要触碰到夜露，便会感到心神慌乱、身躯僵硬。豁免失败的生物陷入持续1分钟的麻痹，生物可以在自己的回合结束时重复豁免，豁免成功则终止麻痹。构装生物、不死生物、精灵免疫夜露。</t>
  </si>
  <si>
    <t>枯滩私货（软体盐）</t>
  </si>
  <si>
    <t>灾祸之战后的密斯卡斯海岸（Miskath Strand）的独特环境产生了许多奇怪的新物质，它们可以为高尚或非法的目的而栽培。然而，事实证明，对这些奇怪药物的监管很困难，因为它们奇特的特性常常让那些想要颠复它们可疑用法的人感到困惑。因此，尽管生产存在不可避免的风险，但供需保持稳定。
软体盐Soothsalts。软体盐来自一种在密斯卡斯海岸（Miskath Strand）的荒野中发现的天然结晶物质。这种深红色晶体是从密斯卡斯坑口（Miskath Pit）那些遭到灾祸之战蹂躏的遗址附近较小的晶洞中发现、并从这些洞穴矿脉中开采出来的。软体盐按含片大小的剂量口服，经常服用的人可以通过他们嘴部周围的深红色斑点来识别。受到一剂软体盐影响的生物在1d4小时内获得所有智力检定中的优势。每消耗一剂软体盐，该生物必须通过一次 DC15的体质豁免，否则会获得一级力竭——这种效果会随着多次剂量的累积而累积。</t>
  </si>
  <si>
    <t>砒霜</t>
  </si>
  <si>
    <t>服用；体质，DC14；无嗅无味的白色粉末，含硫的杂质让它呈红色。最常用、最廉价的服用式毒药。银碰到有杂质的砒霜会变黑，这种检测方法人尽皆知。豁免失败的生物承受1d8点体质属性损伤。</t>
  </si>
  <si>
    <t>黑暗碎片护符</t>
  </si>
  <si>
    <t>这个护符是由你的契术师宗主所在领域的一块独立且具有恢复力的异位面物质碎片制作的。只要你佩戴着它，你就获得以下好处：·你可以使用这个护符作为你的契术师法术的法器。·你可以尝试施展你不知晓的戏法。这个戏法必须是契术师戏法表里的，并且你必须通过DC10的智力（奥秘）检定。如果检定成功则你可以施展戏法。如果检定失败，那么戏法也失败，并且施法的动作也照常消耗。不论哪种结果，你都不能再使用这个能力直到你完成一次长休息。</t>
  </si>
  <si>
    <t>蒙汗药</t>
  </si>
  <si>
    <t>服用；体质，DC16；带有麻醉效果的植物粉末，放在食物或酒水中会让它的颜色变浑浊。豁免失败的生物陷入1d4轮的失能状态；如果豁免结果比DC低至少5点，改为陷入1d4小时的昏迷状态。</t>
  </si>
  <si>
    <t>巫术帽</t>
  </si>
  <si>
    <t>这个老旧的，圆锥形的帽子被金色的新月和星星装饰。当你戴着它，你获得以下好处：·你可以用这顶帽子当做法器。·你可以尝试施展你不知晓的戏法。这个戏法必须是法师戏法表里的，并且你必须通过DC10的智力（奥秘）检定。如果检定成功则你可以施展戏法。如果检定失败，那么戏法也失败，并且施法的动作也照常消耗。不论哪种结果，你都不能再使用这个能力直到你完成一次长休息。</t>
  </si>
  <si>
    <t>吐真剂</t>
  </si>
  <si>
    <t>服用；感知，DC20；吐真剂可以削弱大脑的活性，让人进入半梦半醒的状态，很容易被诱导说出自己认为的答案。豁免失败的生物，在主观意愿上无法说谎，听到一个问题时，它也无法对此保持沉默。持续1d6分钟。</t>
  </si>
  <si>
    <t>星界银剑</t>
  </si>
  <si>
    <t>第一批银剑由很久之前的初代吉斯洋基骑士们打造，那时候吉斯人还是一个统一的种族。银剑在对付那些利用银线维持星界躯体和本体间联系的旅行者时特别有效——对这类敌人的攻击有几率切断银线，从而瞬间杀死对方。当你用这把银制的魔法武器攻击并对一个生物的星界躯体造成重击时，你可以切断该目标联结其本体的银线，而非造成伤害。</t>
  </si>
  <si>
    <t>梦百合</t>
  </si>
  <si>
    <t>服用；智力，DC19；梦百合是一种彩虹色的、富有活力的液体。它吸引了使用者的注意力，尝起来像他最喜欢的饮料。在终末战争当中，医疗者们第一次使用了梦百合的精华，这是一种强力镇静制剂。但是它的成瘾危险被发现之后，这药物就立刻被禁止了。但这并没有消除人们对这种毒品的需求，而对梦百合交易的控制是城市下层混乱冲突的根源。服用梦百合后，生物对抗恐慌和魅惑的豁免具有优势，持续1分钟。同时还需要进行豁免，豁免失败则上瘾。在接下来的三天内，必须服用两剂梦百合，每少服用一剂，便承受1d6点感知属性损伤。上瘾效果可以叠加。</t>
  </si>
  <si>
    <t>呼吸罩</t>
  </si>
  <si>
    <t>这个半透明圆形罩子的表面有些粘糊糊的，只有将它像头盔一样戴在头上时才能激活它的效果。罩子内含1小时份的可呼吸空气。消耗的空气将在每天黎明时分回复。</t>
  </si>
  <si>
    <t>欲望香雾</t>
  </si>
  <si>
    <t>吸入；感知，DC17；粉红色的颗粒状春药，燃烧时会产生发情烟雾。经常被掺在蜡烛、焚香中，以让人在不知不觉中受到影响。豁免失败的生物产生强烈的性欲，把交配作为最优先的动作项，持续1小时，每次受到伤害时，缩短10分钟的剩余持续时间。免疫心灵伤害的生物、构装生物、不死生物免疫欲望香雾。</t>
  </si>
  <si>
    <t>水下呼吸帽</t>
  </si>
  <si>
    <t>在水下着装此帽时，你可以用一个动作说出其命令语以在你头部周围创造出一个供你呼吸的空气泡。空气泡持续存在，直至你再次说出命令语、摘掉帽子或是离开水下。</t>
  </si>
  <si>
    <t>苍白怨恨</t>
  </si>
  <si>
    <t>吸入；体质，DC18；打开纸包后，极轻盈的苍白气息便会飘出，沾染在生物的眼睛上。豁免失败的生物只能看见一片白茫茫，陷入目盲状态，持续1分钟。</t>
  </si>
  <si>
    <t>适应项链</t>
  </si>
  <si>
    <t>着装该项链时，你可以在任何环境中正常呼吸，并且其对抗有害气体（如死云术cloudkill、臭云术stinking cloud、吸入式毒药和某些龙的吐息武器）时进行的豁免具有优势。</t>
  </si>
  <si>
    <t>狂雾</t>
  </si>
  <si>
    <t>吸入；感知，DC19；与镇定剂的原理恰好相反，狂雾可以激发出战斗的热情。军官有时甚至会对自己的部队使用狂雾，以避免他们在强敌面前逃窜。豁免失败的生物陷入嗜血，并且在濒死豁免中具有优势，持续1分钟。</t>
  </si>
  <si>
    <t>霍华德的便利袋</t>
  </si>
  <si>
    <t>这个背包有三个袋子：中间一个侧面两个。每个袋都是一个异次元空间。每个侧袋可以容纳重量不超过20磅，体积不超过2立方尺的物体。中间的大袋则可以容纳重量不超过80磅，体积不超过8立方尺的物质。无论装了多少东西，背包总是重5磅。向背包内放物件时使用与物体互动的规则。从背包内取出物品时需要一个动作。当你在背包里寻找某件特定物品时，该物品会被魔法放到最上面。使用背包时有一些需要注意的事项。如果背包里装的东西超过了容量，或是背包被戳破、撕裂，则它被毁灭。背包毁灭时它所装载的东西将永远消失，但神器总会被送到其他什么地方。如果背包被内外翻转，它所装载的东西也将安全的掉落出来，但再次使用背包之前必须将它恢复原状。一名需要呼吸的生物被装入背包后，在开始窒息前还可以存活10分钟。你无法把一件次元容器放进另一件次元容器中。</t>
  </si>
  <si>
    <t>蛇毒</t>
  </si>
  <si>
    <t>损伤；体质，DC15；蛇毒又称“基础毒药”，是最容易获取的生物毒素之一。豁免失败的生物受到3d6点毒素伤害，并且在1分钟内陷入中毒状态。</t>
  </si>
  <si>
    <t>蕴能木法杖（“火海”费尼亚）</t>
  </si>
  <si>
    <t>卓尔毒</t>
  </si>
  <si>
    <t>损伤；体质，DC18；这种毒药通常只由卓尔精灵在远离阳光的地方制作而成。豁免失败的生物在1d20分钟内陷入睡眠状态。经过卓尔们的特意针对，这种睡眠状态对通过“出神”进行休息的生物依然有效。</t>
  </si>
  <si>
    <t>强效治疗药水</t>
  </si>
  <si>
    <t>生物可以用一个动作喝下药水，或者用一个动作喂一名自愿生物喝下药水，喝下药水的生物恢复若干点生命值，恢复量取决于药水的价格。即使是构装生物或不死生物，也能因此恢复生命值，魔法就是这么奇妙！强效治疗药水：8d4+8</t>
  </si>
  <si>
    <t>紫虫毒</t>
  </si>
  <si>
    <t>损伤；体质，DC16；从巨型紫虫的毒腺中提取的暗紫色液体，具有剧毒，生物即使体魄强健也无法完全抵御伤害。豁免失败的生物受到12d6点毒素伤害，豁免成功则伤害减半。</t>
  </si>
  <si>
    <t>龙器（沉睡）</t>
  </si>
  <si>
    <t>这个容器可以是一个药水瓶，饮水角，或用来容纳液体的容器。 
沉睡。以一个附赠动作，如果容器是空的，你可以说出命令词来使麦芽酒、橄榄油、一剂治疗药水或一剂攀爬药水从盛满容器。一旦这项特性被使用，直到下一个黎明之前它不能被再次使用。你用这种方法制作的药水如果不在24小时内被饮用，就会失去它的魔法特性。</t>
  </si>
  <si>
    <t>丧尸病毒</t>
  </si>
  <si>
    <t>损伤；体质，DC13；对平民来说感染性较强的毒药，能把活物变成丧尸。豁免失败的生物在1d4天的潜伏期后，失去理智，获得僵尸模板，并且它的天生武器攻击也会附带丧尸病毒。构装生物、不死生物免疫丧尸病毒。</t>
  </si>
  <si>
    <t>夸尔羽符（天鹅船）</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</si>
  <si>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天鹅船：你可以用一个动作以这枚羽符碰触一个至少直径60尺的水体。羽符将消失，取而代之的是一艘50尺长，20尺宽的天鹅形小船。这艘小船可以自行在水面上以6里每小时的速度前进。乘坐这艘小船时，你可以用一个动作命令它前进或在不超过90度的范围内转向。小船可以搭载至多三十二名中型或更小体型的生物。一名大型体型生物计为四名中型生物，一名巨型生物计为九名中型生物。小船将在24小时后消失。你可以用一个动作解消羽符的效应。</t>
  </si>
  <si>
    <t>翠玉之水</t>
  </si>
  <si>
    <t>损伤；感知，DC19；翠玉之水是一种对邪恶的超自然生物非常有效的物质。翠玉之水是里头漂浮着一块翠绿色的水晶的一般圣水，但做为毒药确有超乎寻常的效果。只有邪恶生物会被翠玉之水影响，豁免失败则承受1d6点智力属性损伤。</t>
  </si>
  <si>
    <t>荧光符文颜料（旅途符文）</t>
  </si>
  <si>
    <t>这组1d4+2个小罐中装着用粉碎荧光宝石制成的颜料。这种魔法颜料被用于在生物的皮肤上绘制符文，而受绘生物也将被赠予一种临时性的魔法馈赠。一小罐颜料包含了足够绘制出一个符文的颜料。一个生物可以花费10分钟时间来在自己身上或其他人身上绘制出以下符文之一：旅途符文Journey Rune。受绘生物在困难地形中移动将不需要消耗额外的移动力。每罐400gp。（译者注：旅途符文同时也是神祇“迪安卡斯特拉”的圣徽）每个生物只能同时受益于一个绘制符文。除非老的符文被移除，否则一个新的符文被绘制到了生物身上后将不会有任何效果。符文的增益将持续存在8小时，若受绘生物用它的动作擦除符文，符文的增益将提前消失。</t>
  </si>
  <si>
    <t>蝎弩</t>
  </si>
  <si>
    <t>大型攻城装置</t>
  </si>
  <si>
    <t>恶毒武器</t>
  </si>
  <si>
    <t>当你用这把魔法武器发动攻击并骰出20时，目标额外受到与武器伤害类型相同的7点伤害。</t>
  </si>
  <si>
    <t>三弓床弩</t>
  </si>
  <si>
    <t>鹰眼镜片</t>
  </si>
  <si>
    <t>这种水晶镜片可以着装到眼睛上。着装该镜片时，你依赖视力进行的感知（察觉）检定具有优势。在视野清晰的情况下，你可以在很远的地方看清小至2尺的生物或物件的细节。</t>
  </si>
  <si>
    <t>铁炮</t>
  </si>
  <si>
    <t>火球项链</t>
  </si>
  <si>
    <t>这条项链上挂着1d6+3颗珠子。你可以用一个动作取下一颗珠子并投掷到至多60尺远的地方。它将在移动轨迹的终点爆炸，效果等同于3环的“火球术 Fireball”（豁免DC 15）。你可以一次投掷多个珠子甚至整条项链。同时投掷的珠子数量每增加1，火球术的环阶也增加1。一串火球项链的价格为珠子的总价，每颗珠子400gp。</t>
  </si>
  <si>
    <t>吊挂大锅</t>
  </si>
  <si>
    <t>中型攻城装置</t>
  </si>
  <si>
    <t>跳跃戒指</t>
  </si>
  <si>
    <t>着装这枚戒指时，你始终处于“跳跃术Jump”的效应作用下，因此跳跃距离为平常的三倍。</t>
  </si>
  <si>
    <t>攻城槌</t>
  </si>
  <si>
    <t>公会印记</t>
  </si>
  <si>
    <t>这类饰有公会符号的戒指赋予你施展某种与公会息息相关的法术，如下方公会印记法术表Guild Signet Spells table所述。有时公会成员会在声望达到5或更高时获得公会印记，以表彰他们对公会做出的特殊贡献。戒指不仅具有魔法属性，更被视作公会对成员赞誉的体现。一枚公会印记有3发充能，并在每天黎明时恢复1d3发已消耗的充能。你可以在着装该戒指时消耗1发充能施展其关联法术。</t>
  </si>
  <si>
    <t>投石机</t>
  </si>
  <si>
    <t>巨型攻城装置</t>
  </si>
  <si>
    <t>活体手套</t>
  </si>
  <si>
    <t>这双共生体手套是活的，由薄薄的几丁质和肌腱构成，不断搏动着。要与该共生体同调，你必须在同调期间一直戴着这双手套，让它与你的皮肤融为一体。当你与活体手套同调时，你获得巧手或表演的专精（由你选择）。共生体：当你与活体手套同调时，手套不能从你身上脱下，你也不能主动结束对它的同调。如果你成为一个能结束诅咒的法术的目标，那么你与手套的同调自动结束，此时你可以将它脱下。</t>
  </si>
  <si>
    <t>阳光透镜</t>
  </si>
  <si>
    <t>斯翠海文入门书</t>
  </si>
  <si>
    <t>入门书是由斯翠海文的各个学院所编撰的魔法教科书。每本入门书有3次充能，每天黎明时可以恢复1d3次已消耗的充能。当你拿着入门书的时候进行对应的技能检定，你可以在掷骰D20后立即消耗1次充能，给你的检定增加1d4加值。此外，如果你在长休结束时研究了这本入门书，你可以从对应职业的法术列表中选择一个1环法术，不能选择“获得魔宠”“获得晶仆”。在你完成下一次长休之前，如果你拿着入门书，你可以在不需要法术位的情况下施放一次所选的法术。</t>
  </si>
  <si>
    <t>重力隧道</t>
  </si>
  <si>
    <t>抡语</t>
  </si>
  <si>
    <t>一本记载了古代哲人语录的厚重典籍，可以当作一件魔法的硬头锤使用。与《抡语》同调时，如果你处于狂暴状态，你可以用力量代替智力，来进行宗教、历史的技能检定。</t>
  </si>
  <si>
    <t>运兵塔</t>
  </si>
  <si>
    <t>造风之扇</t>
  </si>
  <si>
    <t>持握这把扇子时，你可以用一个动作施展“造风术Gust of Wind”。使用扇子后，在次日黎明前每次再次启动它都会累加20%的失败概率。失败时，扇子也将被撕裂成无魔法的废纸。</t>
  </si>
  <si>
    <t>平板车</t>
  </si>
  <si>
    <t>中型载具（宽5尺，长10尺，高5尺）</t>
  </si>
  <si>
    <t>假生殖器</t>
  </si>
  <si>
    <t>这件物品提供了一种与你相同种族的生物的生殖器仿制品——一条阴道，一根触手，一只产卵器，一朵花蕊，或类似的身体部分。安装后，其物理结构和使用感受与被仿制的器官相同，但无法实际提供生育能力。它成为了你身体的一部分。即使在魔法失效的区域也能正常工作。你可以用一个动作将其着装或者卸装，它不能在你非自愿的情况下被移除。它会在你死的时候脱落。</t>
  </si>
  <si>
    <t>四轮客车</t>
  </si>
  <si>
    <t>大型载具（宽10尺，长15尺，高5尺）</t>
  </si>
  <si>
    <t>健康灵药</t>
  </si>
  <si>
    <t>饮用此药水将治愈你身上的所有疾病，并移除健康类负面状态。这种清澈的红色液体中有发光的小气泡。</t>
  </si>
  <si>
    <t>战车</t>
  </si>
  <si>
    <t>巨型载具（宽10尺，长20尺，高5尺）</t>
  </si>
  <si>
    <t>抗性药水</t>
  </si>
  <si>
    <t>抗性药水共分十种，分别是火焰、冷冻、强酸、闪电、雷鸣、毒素、心灵、力场、光耀、暗蚀抗性药水。饮用此药水时，你获得该伤害类型的抗性，持续1小时。</t>
  </si>
  <si>
    <t>雪橇</t>
  </si>
  <si>
    <t>液化形态药水</t>
  </si>
  <si>
    <t>当你喝下这种药水时，你会变成一滩水water。10分钟后或丧失行动能力或死亡时，你会恢复到你的真实形态。在此形态下，你会受到以下影响。液体移动。你的游泳速度为30尺。你可以在其他液体上移动或穿过其他液体。你可以进入并占据另一个生物的空间。你可以上升到你的正常高度，你可以通过微型的开口。你可以扑灭你进入的任何空间的非魔法火焰。液态复原。你对非魔法伤害有抗性。你也在力量、敏捷和体质的豁免检定中有优势。限制。你不能说话、攻击、施法或激活魔法物品。任何你携带或穿戴的物品都会融合到你的新形态中并且无法使用，不过你会继续受到你穿戴的任何东西的影响，比如盔甲。</t>
  </si>
  <si>
    <t>划艇</t>
  </si>
  <si>
    <t>大型载具（宽5尺，长15尺，高5尺）</t>
  </si>
  <si>
    <t>枯滩私货（黑液）</t>
  </si>
  <si>
    <t>灾祸之战后的密斯卡斯海岸（Miskath Strand）的独特环境产生了许多奇怪的新物质，它们可以为高尚或非法的目的而栽培。然而，事实证明，对这些奇怪药物的监管很困难，因为它们奇特的特性常常让那些想要颠复它们可疑用法的人感到困惑。因此，尽管生产存在不可避免的风险，但供需保持稳定。
黑液Black Sap。这种从死亡柳树的深色树枝上获取的焦油物质是一种强大的麻醉剂。它可以作为浓缩物吸入，也可以直接注射到血液中。受到一定剂量的黑液影响的生物，在1d6小时内不会被魅惑或恐慌。一名生物每使用一剂黑液，必须成功通过 DC15体质豁免，否则会中毒2d4小时——这种效果会随着多次剂量累积。</t>
  </si>
  <si>
    <t>双体船</t>
  </si>
  <si>
    <t>超巨型载具（两个巨型船体，每个宽10尺，长25尺，高10尺）</t>
  </si>
  <si>
    <t>蝰蛇法杖</t>
  </si>
  <si>
    <t>你可以用一个附赠动作说出法杖的命令语，并将法杖的头部活化为一条毒蛇，效应持续1分钟。你可以用另一个附赠动作再次说出该命令语使法杖还原。你视为拥有法杖变成的蛇头攻击的熟练项，并能以之发动近战攻击（触及5尺）。如果攻击命中，则目标受到1d6点穿刺伤害并且必须成功通过一次DC 15的体质豁免否则受3d6点毒素伤害。法杖头部活化为蛇头时可以被指定为攻击目标。它具有AC 15和20点生命值。当蛇头的生命值降至0时，法杖将被摧毁。只要法杖未被摧毁，它就会在恢复非活化状态时恢复所有失去的生命值。</t>
  </si>
  <si>
    <t>单桅帆船</t>
  </si>
  <si>
    <t>超巨型载具（宽10尺，长40尺，高15尺）</t>
  </si>
  <si>
    <t>艾罗娜的箭袋</t>
  </si>
  <si>
    <t>这个箭袋有三个口袋，每一个都连接着一个异次元空间。无论其中存放了多少东西，箭袋的重量永远不会超过2磅。三个口袋中最小的可以容纳60支箭，弩矢或类似的物件；中等大小的口袋可以容纳18支标枪或类似物件；最大的口袋可以容纳六件长条型物件（比如弓、法杖、矛等）。你可以像从普通箭袋或剑鞘中取出物品一样从艾罗娜箭袋中拿取物品。你无法把一件次元容器放进另一件次元容器中。</t>
  </si>
  <si>
    <t>元素帆船</t>
  </si>
  <si>
    <t>龙皮腰带+1</t>
  </si>
  <si>
    <t>这条精致的腰带用龙皮制成。装备着它时你在气的 DC上获得加值。加值由腰带的价格决定。除此之外，你可以用一个动作恢复气，数值等同于一个你的武艺骰。直到下次黎明之前你不能再使用这个动作。</t>
  </si>
  <si>
    <t>铁甲舰</t>
  </si>
  <si>
    <t>超巨型载具（宽25尺，长60尺，高15尺）</t>
  </si>
  <si>
    <t>触月剑</t>
  </si>
  <si>
    <t>在黑暗中，这把剑出鞘的剑锋泄出月光，创造15尺半径的明亮照明和15尺半径的昏暗照明。</t>
  </si>
  <si>
    <t>地狱火坦克</t>
  </si>
  <si>
    <t>巨型载具（宽15尺，长15尺，高10尺）</t>
  </si>
  <si>
    <t>致命武器</t>
  </si>
  <si>
    <t>当你使用这个魔法武器攻击一个生物时，目标在你的下一个回合开始之前不能恢复生命值。</t>
  </si>
  <si>
    <t>热气球</t>
  </si>
  <si>
    <t>大型载具（宽10尺，长10尺，高15尺）</t>
  </si>
  <si>
    <t>欺诈之弓</t>
  </si>
  <si>
    <t>这把魔法长弓的装饰着精灵风格的细致纹路，材质明显是来自幽暗地域的泽克木，另挂着卡拉图武士家族的徽章。当你弯弓搭箭时，欺诈之弓会用精灵语悄声念出“速歼敌”。当你在一场战斗中首次用此武器对一名生物发动远程攻击之前，欺诈之弓会模仿你的音调说出“负我者死”。</t>
  </si>
  <si>
    <t>代达洛斯扑翼</t>
  </si>
  <si>
    <t>大型载具（宽10尺，长10尺，高5尺）</t>
  </si>
  <si>
    <t>助听器</t>
  </si>
  <si>
    <t>当你把它带在你的耳朵上，这个号角会压制你身上耳聋状态的影响，使你可以正常地听到。</t>
  </si>
  <si>
    <t>林兰德空艇</t>
  </si>
  <si>
    <t>超巨型载具（宽50尺，长150尺，高50尺）</t>
  </si>
  <si>
    <t>铁桶</t>
  </si>
  <si>
    <t xml:space="preserve"> 这个白色铁桶具有20点生命值，在生命值变为0时化作粉末。当你佩戴着它受到伤害时，由它代替你承受伤害，溢出的伤害才会由你承受。</t>
  </si>
  <si>
    <t>太空魔法船</t>
  </si>
  <si>
    <t>骨齿项链</t>
  </si>
  <si>
    <t>你在佩戴骨齿项链期间杀死一个生物时，它的标志性器官的微缩模型会出现在项链上，作为你的战利品。当骨齿项链被其它人佩戴时，原有的战利品会脱落。你对与你的战利品种族相同的生物进行的力量（威吓）检定具有优势，这些生物对你发动的攻击检定承受-1减值。</t>
  </si>
  <si>
    <t>夺心魔螺壳舰</t>
  </si>
  <si>
    <t>超巨型载具（宽40尺，长80尺，高30尺）</t>
  </si>
  <si>
    <t>精灵之靴</t>
  </si>
  <si>
    <t>着装这双靴子时，无论在何种表面上移动，你都不会发出脚步声。你进行有关无声移动的敏捷（隐匿）检定时具有优势。</t>
  </si>
  <si>
    <t>骗术宝石</t>
  </si>
  <si>
    <t>这颗闪闪发光的红色宝石通常镶嵌在戒指或胸针中。着装宝石期间，你可以获得以下好处。假币Counterfeit Coins。以一个动作，你可以魔法性的在距离你10尺以内未被占据的空间中创造一堆总价值不超过100gp的硬币。这堆硬币必须生成在表面上的一个可以支撑它的地方。1小时后，无论位于何处，用此法创造出来的硬币都会消失。此项属性一经使用，直到下次黎明前不能再次使用。时尚幻象Illusory Fashion。以一个附赠动作，你可以魔法性地改变你的衣服和盔甲的外观。你可以更改所穿服装的款式、颜色和外观质量，也可以使其看起来就像完全不同的衣服。无论哪种情况，此特性造成的变化都无法应对物理检查。</t>
  </si>
  <si>
    <t>聚焰器</t>
  </si>
  <si>
    <t>这种伊捷制喷火装置每次启用都有故障风险。你可以用一个动作使聚焰器在10尺锥状区域内喷射火焰，该范围内每个生物都必须进行一次DC为13的敏捷豁免，豁免失败则受到4d6火焰伤害，豁免成功则伤害减半。每当你使用聚焰器时，掷一次d10，加上你上一次长休后使用聚焰器的次数，若该值为11及更高，则聚焰器故障，你受到4d6火焰伤害，直到一次长休前都无法使用聚焰器。</t>
  </si>
  <si>
    <t>次元袋</t>
  </si>
  <si>
    <t>这个袋子内部的实际空间比外表看起来要大。它深约4尺，袋口直径约2尺，可以容纳至多500磅，体积不超过64立方尺的东西。无论装了什么，这个袋子总是重15磅。从袋子里取出东西需要花费一个动作。如果袋子里装的东西超过了容量，或是袋子被戳破、撕裂，它也将因此破裂并被摧毁，它所装载的东西将散落到星界位面各处。如果袋子被内外翻转，则它所装载的东西将安全的掉落出来，但再次使用袋子之前必须将它恢复原状。需要呼吸的生物可以在袋中存活的分钟数为10除以生物数量（至少为一分钟），此后袋内的生物便开始窒息。你无法把一件次元容器放进另一件次元容器中。</t>
  </si>
  <si>
    <t>体型药水</t>
  </si>
  <si>
    <t>饮用此药水后，你在1小时内获得“变巨/缩小术”的变巨效应或缩小效应（由你选择），无需专注。</t>
  </si>
  <si>
    <t>蕴能木法杖（“战场”萨拉法斯）</t>
  </si>
  <si>
    <t>龙怒武器（沉睡）</t>
  </si>
  <si>
    <t>这种武器装饰有龙头，爪子，翅膀，鳞片，或龙语文字。它进入巨龙宝库后会吸收龙的吐息武器的能量，并用它的特性造成这种类型的伤害。 
    沉睡。当你使用此武器进行攻击检定掷出20时，目标5英尺内每个你选择的生物都受到和龙的吐息武器相同类型的5伤害。</t>
  </si>
  <si>
    <t>探索者护目镜</t>
  </si>
  <si>
    <t>这个花哨的护目镜用西伯瑞斯龙晶作为镜片材料。戴上护目镜时，你获得以下益处：•当你进行感知（洞悉）检定时，你可以投掷一枚d4，将结果计入检定。•以一个动作，你可以使用护目镜检查一个物品，确认上一个触摸它的生物的灵光。进行一次感知（察觉）检定，对抗难度DC=13+该物品上次被触摸之时距离今天的天数。检定一旦成功，你就能得知该生物的类型，同时你还可以立即使用护目镜施展一个生物定位术以找到这个生物。本能力直到次日黎明前将无法再使用。</t>
  </si>
  <si>
    <t>铁骑马鞍</t>
  </si>
  <si>
    <t>骑乘配有这副马鞍的坐骑时，只要你保持清醒，你就不会在非自愿的情况下，被物理性地解除骑乘状态。同时，所有对你坐骑发动的攻击检定具有劣势。</t>
  </si>
  <si>
    <t>增强武器+1</t>
  </si>
  <si>
    <t>你在用此魔法武器发动的攻击检定和伤害掷骰获得加值。加值的数值取决于武器的价格。</t>
  </si>
  <si>
    <t>铭记药水（5环）</t>
  </si>
  <si>
    <t>神功绑带+1</t>
  </si>
  <si>
    <t>裹着这套布制的绑带期间，你的徒手打击在对抗非魔法攻击与伤害的免疫与抗性时被视为魔法性的。此外，你徒手打击的攻击检定与伤害掷骰获得加值，加值的数值取决于绑带的价格，与其它类似的魔法物品提供的加值不叠加。</t>
  </si>
  <si>
    <t>修道院护符+1</t>
  </si>
  <si>
    <t>佩戴此护符时，你的徒手打击的攻击检定和伤害掷骰获得加值，并视为魔法武器攻击。加值的数值取决于护符的价格，与其它类似的魔法物品提供的加值不叠加。
武僧修道院的长老注意到，某些外出冒险的弟子因为固守徒手战斗的传统而受到欺凌。心疼的长老们为了帮助这些弟子改变现状，打造出可以强化徒手打击，且无需同调的护符，这些护符上往往绘制着修道院的标志。
从此以后，修道院会给出门冒险的自家弟子赠送护符，也允许来自其它修道院的武僧用同等级的魔法武器交换护符，以此作为宣传手段。武僧可以在任意一所修道院，用同等价值的人造武器交换修道院护符。</t>
  </si>
  <si>
    <t>天生武器护符+1</t>
  </si>
  <si>
    <t>佩戴此护符时，你的天生武器的攻击检定和伤害掷骰获得加值，并视为魔法武器攻击。加值的数值取决于护符的价格，与其它类似的魔法物品提供的加值不叠加。</t>
  </si>
  <si>
    <t>探秘魔杖</t>
  </si>
  <si>
    <t>这把魔杖有3发充能，且每天黎明时恢复1d3发已消耗的充能。持握此魔杖时，你可以用一个动作并消耗1发充能以侦测你周围30尺内的密门或陷阱。如果范围内有密门或陷阱，魔杖将跳动着指向离你最近的一个。</t>
  </si>
  <si>
    <t>慈悯武器</t>
  </si>
  <si>
    <t>如果你使用该魔法武器对一个生物造成的伤害，会使目标的生命值下降至0或更低，并且目标不处于“防死结界”或类似效应的保护之下，此伤害将会减少若干点，使得目标至少保留1点生命值。</t>
  </si>
  <si>
    <t>保健护符</t>
  </si>
  <si>
    <t>着装此护符时，你免疫所有疾病。如果你在此前已经感染了疾病，则疾病的效应在你着装此护符期间被压制。</t>
  </si>
  <si>
    <t>心灵护盾戒指</t>
  </si>
  <si>
    <t>着装这枚戒指时，你免疫其他生物对你使用的以下魔法效应：读心、测谎、侦测阵营、侦测生物类型。只有在你同意时，其他生物才能和你建立心灵感应。你可以用一个动作将戒指隐形，也可以用一个动作令它显形。当你把戒指摘下或你死亡时，戒指也将显形。如果你死亡时戴着戒指，你的灵魂将注入戒指中，除非其中已经寄居了一个灵魂。你可以选择留在戒指中或是离开它而往生。只要你的灵魂还寄居在戒指里，你就可以通过心灵感应和着装戒指的生物交流。着装戒指的生物无法拒绝寄居灵魂的心灵感应。已经寄居了灵魂的心灵护盾戒指为非卖品。</t>
  </si>
  <si>
    <t>水行戒指</t>
  </si>
  <si>
    <t>着装这枚戒指时，你可以在液体表面站立和行走，如同在坚实地面上一般。</t>
  </si>
  <si>
    <t>无尽水瓶</t>
  </si>
  <si>
    <t>这个2磅重，带瓶塞的瓶子在摇晃时会发出液体晃动的声音，仿佛其中有水一般。你可以用一个动作拔出瓶塞并说出三个命令语中之一，使瓶子流出淡水或是咸水（由你选择）。水将在你的下一回合开始时停止涌出。瓶子的命令语有以下三种：·“溪流Stream”产生1加仑的水。·“泉源Fountain”产生5加仑的水。·“井喷Geyser”如同间歇泉般喷出一道高30尺，宽1尺的水柱，共产生30加仑水。如果你握持此瓶，则可以用一个附赠动作将瓶口对准30尺范围内一名你能看到的生物。该生物必须进行一次DC 13的力量豁免，豁免失败则受到1d4点钝击伤害并陷入倒地。另外，你也可以用瓶口瞄准一个不超过200磅，且未被着装或携带的物件。而该物件将随之被打翻或被你推开15尺。</t>
  </si>
  <si>
    <t>自然斗篷</t>
  </si>
  <si>
    <t>这件斗篷能随着你周围的环境改变颜色和材质。当穿戴着斗篷时，你可以使用其作为你施展德鲁伊和游侠法术的法器。当你处于一处有着轻度遮蔽的区域时，你可以用一个附赠动作进行躲藏动作，即便你能被直接观察到。</t>
  </si>
  <si>
    <t>阿瑟蒙妮之弹丸（闪光）</t>
  </si>
  <si>
    <t>这些弹药装在一个袋子里，里面有1d4+4颗弹丸。在列表上为每颗弹丸投骰，以确定其魔法属性。
你在用这些弹丸做出的攻击和伤害检定有+2的加成。如果弹丸没有击中目标，弹丸会传送回弹袋。一旦弹丸击中目标，弹丸就会失去魔力。
闪光Fulguration。命中后，这颗弹丸会对目标造成额外2d8闪电伤害。目标周围10尺内的所有其他生物必须在DC15的体质豁免中成功，否则将受到1d8的闪电伤害。
一袋价格为1d4+4颗随机弹丸的单价的总和。在竞技场或短团中，震慑弹丸为非卖品。</t>
  </si>
  <si>
    <t>艾恩石（警觉）</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</si>
  <si>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颜色：深蓝
类型：警觉
效果：你不会被突袭。</t>
  </si>
  <si>
    <t>间谍低语</t>
  </si>
  <si>
    <t>这是件暗色金属制成的耳罩。如果你知道另一个佩戴该耳罩的生物，且该生物在你身边1里范围内时，你可以与他进行心灵交流。你可以用一个附赠动作使该生物听见你所听到的，持续1小时。你可以用一个附赠动作终止这一效应。当你陷入失能状态时该效应自行终止。</t>
  </si>
  <si>
    <t>爆裂头饰</t>
  </si>
  <si>
    <t>着装此头饰后，你可以施展出法术“灼热射线Scorching Ray”。直到次日黎明前，头饰都无法再次以该方式使用。</t>
  </si>
  <si>
    <t>善泳戒指</t>
  </si>
  <si>
    <t>着装这枚戒指时，你获得40尺游泳速度。</t>
  </si>
  <si>
    <t>蛛行便鞋</t>
  </si>
  <si>
    <t>着装这双便鞋时，你可以在垂直平面上移动，也可以在松开双手的情况下倒挂在天花板上。你获得等于你步行速度的攀爬速度。不过，仅靠这双鞋不能让你在滑溜的平面，如冰、油覆盖的平面上行走。</t>
  </si>
  <si>
    <t>窃贼手套</t>
  </si>
  <si>
    <t>这双手套着装到手上时是隐形的。着装该手套时，你进行的敏捷（巧手）检定具有+5加值。</t>
  </si>
  <si>
    <t>感知石</t>
  </si>
  <si>
    <t>这块光滑的小石头容纳了一种单一体验的要素。作为一个动作，你或你指定的自愿生物可以触摸这块石头并体验这种感觉，就仿佛它发生在那个生物身上一样。不论体验它时感觉有多么真实，这种虚幻的体验都是短暂而无害的。记录感知 Record Sensation。以一个反应，你可以选择一个在你30尺范围内的生物，记录其所经历的持续时间不超过6秒的感知，并将这种体验的要素注入感知石中。这会替换掉石头中任何已储存的感知。虹吸感知 Siphon Sensation。以一个附赠动作，你可以利用感知石的魔法来结束自己的魅惑或恐慌状态，这种用法会摧毁感知石。</t>
  </si>
  <si>
    <t>幻象牌组</t>
  </si>
  <si>
    <t>这个匣子里装着一套羊皮纸制的卡牌。一套完整的牌组有34张卡，但作为宝藏获得牌组时通常会缺少1d20-1张卡。只有在随机抽取时，卡牌的魔法才会生效（你可以使用扑克牌模拟牌组）。你可以用一个动作从牌组中随机抽出一张牌并扔到30尺内的地面上。一名或多名幻象生物将在扔出的卡牌上形成，并一直持续到幻象被解除。幻象生物看起来活灵活现，和真实生物体型相仿，行为模式也相同（详见《怪物图鉴》）但无法造成伤害。如果你在幻象生物周围120尺内且能看到它，则你就可以用一个动作命令它移动到卡牌周围30尺内的任何地方。由于物件可以穿透幻象，因此与幻象生物的任何物理互动都将揭示其幻象本质。以视觉观察幻象生物时，成功通过一次DC 15的智力（调查）检定即可发现幻象的本质。检定成功后幻象在该生物眼中即为半透明状态。幻象将一直持续到被解除或直至它的卡牌被移动。当幻象终止时，它卡牌上的图像也随之消失，该卡牌也从此失去效应。</t>
  </si>
  <si>
    <t>魔杖插槽</t>
  </si>
  <si>
    <t>一个魔杖插槽固定在你的手臂上，带给你下列益处：·与魔杖插槽同调期间，它将无法从你身上被移除，即使处于魔法失效的区域。•你能以一个动作，将一柄魔杖插入插槽内。插槽每次只能容纳一柄魔杖。•你能以一个附赠动作，将插入插槽的魔杖弹出或缩回。当魔杖弹出时，你可以正常使用它，如同你正持有该魔杖，但这并不会占用你的手。如果插槽内的魔杖需要同调，你必须在使用它之前与之同调。不过，魔杖插槽与插入其中的魔杖在计算同调魔法物品数量时视为一件魔法物品。如果你将魔杖从插槽中移除，那么你与魔杖的同调将终止。</t>
  </si>
  <si>
    <t>耳虫</t>
  </si>
  <si>
    <t>为了与该共生体同调，你必须在同调期间将它贴在耳后的皮肤上，让它钻入你的头颅并吸附在你的颅骨上。当耳虫埋入你身体期间，你可以说、阅读以及书写深渊语。法术。耳虫有4发充能，你可以耗费一定次数的充能来施展以下法术：侦测思想（2发充能）或不谐低语（1发充能）。每当你使用耳虫施展侦测思想时，它会将读取到的信息传递给最近的异变魔或是另一只最近的耳虫，后者将以接力的方式继续传递，直到成功穿给异变魔为止。耳虫在每日清晨恢复1d4点充能。共生体。当你与耳虫同调时，耳虫不能从你身上被移除，你也不能主动结束对它的同调。如果你成为一个能结束诅咒的法术的目标，那么你与耳虫的同调自动结束，它将会退出你的身体。</t>
  </si>
  <si>
    <t>魔力药水（三环）</t>
  </si>
  <si>
    <t>守护者纹章</t>
  </si>
  <si>
    <t>这枚圣徽是一位神祇或一种超自然传承的徽章。作为一个动作，你可以将徽章附上一套护甲或一面盾牌或移下。徽章具有3发充能。当你穿戴着附有徽章的护甲或装备着附有徽章的盾牌，且你或一个距离你30尺内且你可见的生物受到一次重击时，你可以用一个反应并消耗1发充能将重击命中改为普通命中。徽章在每天黎明时恢复所有已消耗的充能。</t>
  </si>
  <si>
    <t>窃命剑</t>
  </si>
  <si>
    <t>当你用这把魔法武器攻击一名非构装非不死的生物并骰出20时，目标额外受10点暗蚀伤害，且你获得10点临时生命值。</t>
  </si>
  <si>
    <t>干草镰</t>
  </si>
  <si>
    <t>你用这把武器发动的攻击检定和伤害掷骰获得+1加值。当你手持该武器在一处生长植物的地方进行长休或短休时，你可以用这把武器在宿营地的附近收集干草，获得至多5层充能。你可以用一个动作消耗1层充能，将干草填满你10尺内的一处5尺方格。每格干草有10点HP，5AC，对火焰伤害易伤，免疫心灵和毒素伤害。</t>
  </si>
  <si>
    <t>物品检识镜</t>
  </si>
  <si>
    <t>这副皮革护目镜镶着紫水晶的镜片。当你着装这副护目镜，并试图回忆所见生物或物品的相关信息时（不包括辨识法术），你所做的依赖视觉进行的智力（奥秘）检定拥有优势。着装此护目镜时，你可以施展“鉴定术”。第二天黎明前，此特性无法再次使用。</t>
  </si>
  <si>
    <t>温暖戒指</t>
  </si>
  <si>
    <t>着装这枚戒指时，你对冷冻伤害具有抗性。另外，你自身及你着装或携带的物件都可不受最低华氏-50度的低温影响。</t>
  </si>
  <si>
    <t>精灵斗篷</t>
  </si>
  <si>
    <t>着装此斗篷并拉起兜帽后，它将变换颜色为你提供伪装。任何试图看到你的感知（察觉）检定都将承受劣势，且你在使用敏捷（隐匿）检定进行躲藏时具有优势。褪下或拉起兜帽需要一个动作。</t>
  </si>
  <si>
    <t>普莱德丝绸</t>
  </si>
  <si>
    <t>普莱德地区独有的丰产的丝绸，很长一段时间以来都是当地人引以为傲的东西。经过适当的加工和编织，就能产出普莱德丝绸：这是一种非常柔韧的材料，具有鞣制皮革的耐久性。普莱德丝绸目前已成为军用船帆、战争旗帜和其他实用用途的最受欢迎的布料，并在富裕阶层之中也颇受欢迎。使用普莱德丝绸制作的服装既时尚又具防护性，这导致许多贵族和富商寻求这种丝绸所制的全套服装和正式礼服。有能力制作这种服装的裁缝很少，所以，尽管普莱德丝绸作为一种原材料可能很贵，对于大多数普通人来说，用这种布料制成的服装更是贵得令人望而却步。若你没有穿戴盔甲，着装此外套时，你的基础护甲等级为11+熟练加值+敏捷调整值。</t>
  </si>
  <si>
    <t>跳跑之靴</t>
  </si>
  <si>
    <t>着装这双靴子时，你的步行速度变为30尺，除非你原本的步行速度更快。你的速度此时不会因为重载或者穿着护甲而减慢。此外，你跳跃的距离是通常的三倍，但不能超过你剩余的移动距离。</t>
  </si>
  <si>
    <t>力场珠</t>
  </si>
  <si>
    <t>这个小型黑色球体直径3/4寸，重1盎司。通常都会有1d4+4颗珠子保存在一起。你可以用一个动作把珠子扔出至多60尺远。珠子因冲击而爆炸并被摧毁，落点周围半径10尺范围内的每个生物都必须进行一次DC 15的敏捷豁免，豁免失败则受到5d4点力场伤害。此外，球型的隐形力场将封闭该区域1分钟。任何豁免失败且完全处于范围中的生物会被困在里面。豁免成功或部分处于范围中的生物会沿着远离球型中心的方向推出范围。攻击或其他效应无法进入球型力场，但供呼吸的空气可以顺利流通。被困在内部的生物可以用一个动作推动力场障壁，移动至多相当于该生物步行速度一半的距离。这个球型障壁也可以被拿起。无论内部的生物有多重，它的重量都只有1磅。</t>
  </si>
  <si>
    <t>活力药水</t>
  </si>
  <si>
    <t>饮用此药水将消除你所有的力竭状态，并治愈影响你的任何疾病或毒素。此后24小时内，你使用生命骰时所恢复的生命值都为生命骰的最大值。这种深红色药水有节奏的发出微光，让人联想到心脏的跳动。</t>
  </si>
  <si>
    <t>元素捕网（2d6）</t>
  </si>
  <si>
    <t>使用元素能量束，编织形成的实体网兜。即使网兜遭到摧毁，只要元素捕网的元素核心还在，使用者就能用1分钟时间重新制造出网兜。
每个你的回合结束时，元素捕网对正在被它束缚的生物或物件，造成若干点火焰/寒冷/强酸/闪电/雷鸣伤害。伤害类型取决于元素核心种类，伤害数值取决于元素捕网的价格。</t>
  </si>
  <si>
    <t>极效治疗药水</t>
  </si>
  <si>
    <t>生物可以用一个动作喝下药水，或者用一个动作喂一名自愿生物喝下药水，喝下药水的生物恢复若干点生命值，恢复量取决于药水的价格。即使是构装生物或不死生物，也能因此恢复生命值，魔法就是这么奇妙！极效治疗药水：10d4+20</t>
  </si>
  <si>
    <t>异能塑像（象牙山羊）</t>
  </si>
  <si>
    <t>荧光符文颜料（光明符文）</t>
  </si>
  <si>
    <t>这组1d4+2个小罐中装着用粉碎荧光宝石制成的颜料。这种魔法颜料被用于在生物的皮肤上绘制符文，而受绘生物也将被赠予一种临时性的魔法馈赠。一小罐颜料包含了足够绘制出一个符文的颜料。一个生物可以花费10分钟时间来在自己身上或其他人身上绘制出以下符文之一：生命符文Life Rune。受绘生物获得10点临时生命值，并在进行濒死豁免时具有优势。每罐800gp。每个生物只能同时受益于一个绘制符文。除非老的符文被移除，否则一个新的符文被绘制到了生物身上后将不会有任何效果。符文的增益将持续存在8小时，若受绘生物用它的动作擦除符文，符文的增益将提前消失。</t>
  </si>
  <si>
    <t>唤鱼三叉戟</t>
  </si>
  <si>
    <t>该三叉戟是一把魔法武器。它有3发充能。持握它时，你可以用一个动作并消耗1发充能以对一只有天生游泳速度的野兽施展“支配野兽Dominate Beast”（DC 15）。该三叉戟每天黎明时恢复1d3发已消耗的充能。</t>
  </si>
  <si>
    <t>夜视镜</t>
  </si>
  <si>
    <t>着装这副暗色护目镜时，你具有60尺黑暗视觉。如果你已经有黑暗视觉，则其范围再扩大60尺。</t>
  </si>
  <si>
    <t>易容帽</t>
  </si>
  <si>
    <t>着装这顶帽子时，你可以用一个动作随意施展“易容术disguise”，其效应持续至帽子被摘下为止。</t>
  </si>
  <si>
    <t>愈合护符</t>
  </si>
  <si>
    <t>着装此护符时，你掷生命骰为自己恢复生命值时，其恢复的数值加倍。</t>
  </si>
  <si>
    <t>浮空之靴</t>
  </si>
  <si>
    <t>着装这双靴子时，你可以随意对自身施展法术“浮空术Levitate”。</t>
  </si>
  <si>
    <t>漂浮之球</t>
  </si>
  <si>
    <t>这个厚玻璃制成的小球重1磅。在它周围60尺内，你可以说出命令语以使它施展出光亮术 light或日光术 daylight。使用一次后直至次日黎明前，其日光术 daylight效应将无法再次使用。你可以用一个动作来说出另一个命令语，以让发光球体飞到空中，漂浮在离地面不超过5尺的地方。球体将持续漂浮在空中，直到你或另一生物将它抓住。如果你离开球体周围60尺范围，则它将沿最短路径跟随你移动直到距离你60尺为止。如果它的移动遭到妨碍，它将闪烁着落回地面并回到启动前的状态。</t>
  </si>
  <si>
    <t>缠爪刺青</t>
  </si>
  <si>
    <t>该魔法刺青用一根特殊的针制作，绘有错杂盘虬的图案。刺青同调。同调此物品时，你需要将针持握，并抵在你想要让刺青出现的那处皮肤上。当同调完成时，针头会化为墨水再变成刺青。若你与刺青的同调结束，刺青会消失，针头会再次出现在你的位置中。缠握触须。当刺青在你的皮肤上时，你可以用一个动作让刺青伸缩出一团能够触及一个15尺内你可见生物的墨黑色触须。目标生物需要进行一次DC14的力量豁免，豁免失败则受到3d6力场伤害并被你 擒抱Grappled。作为一个动作，被擒抱的生物可以通过DC14的力量（运动）或敏捷（体操）检定以摆脱擒抱。在你使触手停止（无需动作），或生物与你相距15尺以上或你对另一个生物使用此刺青时，擒抱也会结束。</t>
  </si>
  <si>
    <t>极限性能药水</t>
  </si>
  <si>
    <t>这瓶紫色发光药水闻起来像李子和砂糖，但尝起来却像泥巴。在饮用此药水后的一分钟内，你所施放的第一个可以造成伤害或治疗的四环或更低阶法术，获得“法术极效”的超魔效果，无需专长或术法点。</t>
  </si>
  <si>
    <t>“马枪”</t>
  </si>
  <si>
    <t>每回合一次，如果你使用这把武器发动的攻击未命中，你的坐骑在本回合额外获得等同于其移动速度一半的移动力。</t>
  </si>
  <si>
    <t>心灵感应头盔</t>
  </si>
  <si>
    <t>着装这顶头盔时，你可以用一个动作施展“侦测思想Detect Thoughts”。保持法术专注期间，你可以用一个附赠动作向你聚焦的生物发送心灵通信。只要你依然聚焦于该生物，则它也可以用一个附赠动作回复你的信息。使用“侦测思想Detect Thoughts”并聚焦于某生物期间，你还可以用一个动作对该生物施展“暗示术Suggestion”。此后直到次日黎明前，其暗示术属性都无法再次启动。</t>
  </si>
  <si>
    <t>遮蔽指环</t>
  </si>
  <si>
    <t>这个铁质指环就像一个头骨，摸起来很冷。它有3发充能，并在每天黎明恢复1d3充能。当带着戒指时，你可以以一个动作，使用它的1发充能，来施放“云雾术Fog Cloud”，但需要做出以下变动：当云雾出现时，它以你为中心，并且法术持续1分钟（无需专注）。</t>
  </si>
  <si>
    <t>复鳞饰物（沉睡）</t>
  </si>
  <si>
    <t>这个饰物可以是珠宝，斗篷或其他可穿戴的装饰品。它似乎是由龙的鳞片、牙齿或爪子塑造而成，或者是包含有这些形状的图像。 
沉睡。你在为避免陷入魅惑或恐惧，或者结束这些状态所做的的豁免检定中具有优势。</t>
  </si>
  <si>
    <t>颤栗乐笙</t>
  </si>
  <si>
    <t>你必须拥有表演技能熟练项才能使用该乐笙。该乐笙有3发充能。你可以用一个动作吹奏它并消耗1发充能，以发出一阵含有魔法的怪异音调。你周围30尺内的每名生物都必须成功通过一次DC 15的感知豁免否则对你恐慌1分钟。你可以选择让范围内所有对你没有敌意的生物豁免自动成功。豁免失败的生物可以在每次它的回合结束时再次进行该豁免，成功则终止其自己身上的恐慌效应。豁免成功的生物在24小时内免疫该乐笙的效应。该乐笙在每天黎明时恢复1d3发充能。</t>
  </si>
  <si>
    <t>龙翼弓</t>
  </si>
  <si>
    <t>这把魔法弓的枝尖被塑造成龙翅膀的形状，并且这把弓被注入了色彩，宝石或金属龙吐息的精华。当你用这把魔法弓的攻击检定命中时，目标受到额外1d6伤害，伤害类型与注入这把弓的吐息的伤害类型相同——强酸，冷冻，火焰，力场，闪电，黯蚀，毒素，心灵，光耀或雷鸣。如果你在没有为这把武器装填弹药就拉动弓弦的情况下，它会自动为自己制造出一发魔法弹药。被创造出的弹药在击中或落空后会消失。</t>
  </si>
  <si>
    <t>修补之针</t>
  </si>
  <si>
    <t>这把魔法匕首可以伪装成缝纫针的模样。持握它时，你可以用一个附赠动作念出它的命令语，将它变成一把匕首，或变回一根针。你在使用该魔法武器发动攻击检定与伤害掷骰时获得+1加值。持握它时，可以随意施展戏法“修复术”。</t>
  </si>
  <si>
    <t>护盾胸针</t>
  </si>
  <si>
    <t>着装此胸针时，你获得对力场伤害的抗性，并免疫具有“魔法飞弹”标签的法术。</t>
  </si>
  <si>
    <t>辟矢夺箭手套</t>
  </si>
  <si>
    <t>着装这双手套时，它几乎和你的手融为一体。着装该手套且至少空着一只手时，如果远程武器攻击命中你，则你可以用反应来减少1d10+你的敏捷调整值的伤害。如果你把伤害减少到0，则你可以选择抓住击中你的抛掷物（前提是它的尺寸足够让你用手抓住）。</t>
  </si>
  <si>
    <t>魔能爪刺青</t>
  </si>
  <si>
    <t>这个绘有爪型或其他锯齿型图案的刺青需要用一根特殊的针制作。刺青同调。同调此物品时，你需要将针持握，并抵在你想要让刺青出现的那处皮肤上。当同调完成时，针头会化为墨水再变成刺青。若你与刺青的同调结束，刺青会消失，针头会再次出现在你的位置中。魔法打击。只要该刺青在你的皮肤上，攻击对非魔法攻击具有抗性或免疫的目标时，你的徒手打击视为魔法攻击，并且你以徒手打击发动的攻击检定和伤害掷骰获得+1加值。魔能巨锤。作为一个附赠动作，你可以增强刺青1分钟。持续时间内，你每次以武器或徒手打击发动近战攻击时，墨水触须会朝着对方喷射而去，使你可以触及距离你最远15尺的目标。此外，你的近战攻击命中时会造成额外1d6力场伤害。使用后，直到下次黎明前，此附赠动作不能再次使用。</t>
  </si>
  <si>
    <t>契约卷轴</t>
  </si>
  <si>
    <t>一个完全自愿的生物可以用契约卷轴来立契。他首先在契约卷轴上写下一段承诺和誓言，以及他不在规定时间内完成承诺所需要承担的代价。然后将契约卷轴用烈火烧成灰烬，让卷轴的魔法开始生效。最后当时限到来时，如果承诺没有被完成，立契者将会无可避免地承担代价。如果时限到来时他正处于魔法失效的区域，那么一旦当他离开魔法失效的区域，便需要承担代价。可选的代价包括死亡、承受某种残疾、承受指定伤害类型的若干点伤害、承受某种健康类负面状态、失去若干财富，等等。被胁迫、魅惑、暗示、支配的生物即使立契，也无需承担没有完成承诺的代价。契约卷轴偶尔被用作自杀道具，示例如下：“如果我不能在下个自己的回合开始前，统治多元宇宙，就让我立即无痛地死亡且无法复活。”</t>
  </si>
  <si>
    <t>奥法秘典+1</t>
  </si>
  <si>
    <t>只有法师才能使用奥法秘典。你可以将这件皮革封皮的书籍作为你法师法术的法器，你在你法师法术的法术攻击骰和法术豁免DC上获得加值。加值取决于书的价格。你可以将其作为法术书。此外，当你使用你的奥术回想特性时，你能够恢复的法术位环阶总和额外增加1环。直到次日黎明前，此特性无法再次启用。</t>
  </si>
  <si>
    <t>阿瑟蒙妮之弹丸（放逐）</t>
  </si>
  <si>
    <t>这些弹药装在一个袋子里，里面有1d4+4颗弹丸。在列表上为每颗弹丸投骰，以确定其魔法属性。
你在用这些弹丸做出的攻击和伤害检定有+2的加成。如果弹丸没有击中目标，弹丸会传送回弹袋。一旦弹丸击中目标，弹丸就会失去魔力。
放逐Banishment。受到此弹丸伤害的生物必须在DC15的智力豁免检定中成功，否则将被驱逐，就像被放逐术影响一样。
一袋价格为1d4+4颗随机弹丸的单价的总和。在竞技场或短团中，震慑弹丸为非卖品。</t>
  </si>
  <si>
    <t>异能塑像（黄金狮子）</t>
  </si>
  <si>
    <t>灵马哨笛（未绑定）</t>
  </si>
  <si>
    <t>灵马哨笛是一类可以呼唤坐骑的陶笛，被塑造成了各种生物的外形。当你用一个动作吹响哨笛并跃起时，你的身下会浮现出某种生物的精魂，而你骑乘着它。这只坐骑听从你的命令，但不能攻击。它在死亡、生命值归零、或是不再被你骑乘时，将凭空消失，不留下物质痕迹，灵马哨笛在之后的24小时内失去其魔法。你也可以用一个动作解散这只坐骑，使其消失。你不能同时拥有超过一只通过灵马哨笛链接的坐骑。
灵马哨笛的种类会决定它的价格和生物数据。未绑定的灵马哨笛在初始状态下不会召唤出坐骑，需要将它与某个自愿成为你的坐骑的生物花费1小时绑定后，才能正常使用。绑定成功后，便不能更换绑定对象了。</t>
  </si>
  <si>
    <t>惊异魔杖</t>
  </si>
  <si>
    <t>这把魔杖有7发充能。持握此魔杖时，你可以用一个动作消耗1发充能并选择你周围120尺内的一名生物、一个物件或空间中的一点为目标。骰d100然后参考下表决定效应。如果魔杖的效应为让你施展一个法术，则该法术豁免DC为你的法术豁免DC。如果该法术的施法范围以尺计算，则其施法范围变为120尺。如果魔杖的效应覆盖一个范围区域，则你必须以目标为中心并包括它在内。如果魔杖的效应影响多个单位，由DM随机决定哪些单位受到影响。该魔杖每天黎明时恢复1d6+1发已消耗的充能。当充能耗尽时，骰一次d20。如果骰值为1，魔杖将化为灰烬而毁灭。</t>
  </si>
  <si>
    <t>赫炎之弓</t>
  </si>
  <si>
    <t>从这把弓射出的弹药，如同烧红般熠熠生辉着。当你用这把弓发动的攻击检定命中时，目标还会受到额外的1d6点火焰伤害。若目标是一个可燃的、非魔法物件，它还会被点燃，并在每个你的回合开始时受到1d6点火焰伤害直至一个生物用其动作熄灭火焰为止。</t>
  </si>
  <si>
    <t>破法挂索</t>
  </si>
  <si>
    <t>破法挂索拥有5发充能，在每天黎明时恢复1d4+1发充能。在进行解除检定的掷骰之前，你可以消耗一或多发充能，每消耗1发充能，便让该次检定获得+2加值。</t>
  </si>
  <si>
    <t>法力再生珍珠</t>
  </si>
  <si>
    <t>该珍珠在你身上时，你可以用一个动作说出珍珠的命令语以恢复一个已消耗的法术位。如果已消耗的法术位为4环或更高环阶，则所恢复的法术位为3环。使用后直到次日黎明前，珍珠都无法再次启动。</t>
  </si>
  <si>
    <t>指导附件</t>
  </si>
  <si>
    <t>指导附件是一个小号的金属球，直径约2英寸，上面镶嵌着龙晶。要与指导附件同调，你必须将它嵌入你身体的某个地方，比如你的胸口或眼窝。自我意志。指导附件是一个智能魔法物品，其阵营任意，具有16智力、14感知。它通过你的感知能力观察世界，且可通过心灵念话与你交流。指导附件可以说、读以及理解他知道的任何语言（详见下文“随机特质”）。生命维持。每当你在处于0HP的状态下结束回合时，指导附件都能进行一个感知（医疗）检定，它在该检定中有+6加值。如果检定成功，指导附件将让你的负数生命值减少1d6点。随机特质。指导附件有以下特质：1、语言：指导附件知晓通用语、巨人语以及1d4种额外语言，具体由主持人决定。如果指导附件知晓的语言数量小于六种，那么它可以在通过你的感官听到或读到一种新的语言之后学会它。2、技能：指导附件在下述随机技能之一上拥有+7加值：奥秘、历史、调查、自然。3、法术：指导附件随机知晓下述法术之一，并且可以随意施放，无需任何成分：侦测善恶、 侦测魔法。指导附件决定何时施放该法术。人格。指导附件被设计用于向附着的机关人提供建议和帮助。它的基础功能之一就是作为一名翻译。指导附件的人格完全由其自己掌控，如果你与指导附件的关系不好，它可能会拒绝帮助你。</t>
  </si>
  <si>
    <t>寿命药水</t>
  </si>
  <si>
    <t>饮用此药水后，你的生理年龄减少1d6+6岁，但不能小于13岁。此后每当你再次饮这种药水时，都会累加10%的概率令你增加而非减少1d6+6岁。这种琥珀色药水中悬浮着一条蝎子的尾巴，一颗蝰蛇的牙，一只死蜘蛛，以及一颗违反常理地跳动着的小心脏。药水被打开时，这些成分便随之消失。上文标明的年龄增减值，针对预期寿命为80年的种族（例如人类）生效。对于长命种和短命种，此药水产生的年龄增减值会按比例变化。</t>
  </si>
  <si>
    <t>金票</t>
  </si>
  <si>
    <t>每张金票上写着一个至少为1000的正整数，即为它的价格。用一个动作阅读这张卷轴后，金票会消失，并倾泻出等同于它记载的数字的金币。</t>
  </si>
  <si>
    <t>战法师魔杖+1</t>
  </si>
  <si>
    <t>你的法术攻击检定获得加值。加值的数值取决于魔杖的价格。另外，你在使用法术攻击时忽略半身掩护，并将四分之三掩护视为半身掩护。</t>
  </si>
  <si>
    <t>调律者之鼓+1</t>
  </si>
  <si>
    <t>只有吟游诗人才能使用调律者之鼓。你在你吟游诗人法术的法术攻击骰和法术豁免DC上获得加值。加值取决于鼓的价格。作为一个动作，你可以演奏这张鼓以恢复一次吟唱特性的使用次数。鼓的此项属性，直到下次黎明前，不能再次使用。</t>
  </si>
  <si>
    <t>异能塑像（蓝晶石无齿翼龙）</t>
  </si>
  <si>
    <t>艾恩石（防护）</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</si>
  <si>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颜色：灰玫瑰
类型：防护
效果：你的AC+1。</t>
  </si>
  <si>
    <t>缚空杖</t>
  </si>
  <si>
    <t>该法杖可以用作一把魔法长棍，你用它发动的攻击检定和伤害掷骰获得+1加值。持握法杖时，你发动的法术攻击检定获得+1加值。若30尺内一个你能看见且正在飞行的生物对你发动攻击检定，你可以用反应举起法杖使其闪光，则该生物必须进行一次DC为15的体质豁免，豁免失败将会被缚地，直到它的下个回合开始。</t>
  </si>
  <si>
    <t>反侦护符</t>
  </si>
  <si>
    <t>着装此护符时，你处于屏蔽侦测状态。</t>
  </si>
  <si>
    <t>祖母绿钢笔</t>
  </si>
  <si>
    <t>这支笔的笔尖是祖母绿并且无需墨水就能书写，因此可以省去抄录法术所需的秘术墨水。持握这支笔时，你可以随意施展法术“迷惑手稿”。</t>
  </si>
  <si>
    <t>免疫药水</t>
  </si>
  <si>
    <t>免疫药水共分十种，分别是火焰、冷冻、强酸、闪电、雷鸣、毒素、心灵、力场、光耀、暗蚀免疫药水。饮用此药水时，你获得该伤害类型的免疫，持续1小时。</t>
  </si>
  <si>
    <t>命运主宰之牌+1</t>
  </si>
  <si>
    <t>只有牧师或圣武士才能使用命运主宰之牌。这些卡牌背面刻有代表内层位面，外层位面，以及各个神明圣徽的符号。持握该牌组期间，你可以将其作为施法法器，并且你在法术攻击检定及你的法术豁免DC上获得加值。加值取决于牌组的价格。此外，持握该牌组期间，你可以消耗一个动作抽一张牌然后掷一枚你的生命骰并将该牌组的加值加到骰点结果中。离你30尺内你可见的一个生物受到等同于该总数的光耀伤害，或回复等同于该总数的生命值（由你选择）。</t>
  </si>
  <si>
    <t>磨刀石+2</t>
  </si>
  <si>
    <t>巨人之力药水（霜巨人）</t>
  </si>
  <si>
    <t>巨人之力药水共有六种，价格各有不同，分别对应六种巨人。透明的药液中漂着一点对应类型巨人的指甲碎片。饮用后，提供不同的力量值和力量属性上限，持续1小时。霜巨人：力量+4，不能超过26。</t>
  </si>
  <si>
    <t>巨人之力药水（火巨人）</t>
  </si>
  <si>
    <t>巨人之力药水共有六种，价格各有不同，分别对应六种巨人。透明的药液中漂着一点对应类型巨人的指甲碎片。饮用后，提供不同的力量值和力量属性上限，持续1小时。火巨人：力量+4，不能超过26。</t>
  </si>
  <si>
    <t>龙器（激活）</t>
  </si>
  <si>
    <t>这个容器可以是一个药水瓶，饮水角，或用来容纳液体的容器。 
沉睡。以一个附赠动作，如果容器是空的，你可以说出命令词来使麦芽酒、橄榄油、一剂治疗药水或一剂攀爬药水从盛满容器。一旦这项特性被使用，直到下一个黎明之前它不能被再次使用。你用这种方法制作的药水如果不在24小时内被饮用，就会失去它的魔法特性。
激活。除了沉睡状态的容器的选项以外，你还可以用蜜酒，一剂火焰吐息药水或一剂治疗药水（高等）盛满激活的容器。</t>
  </si>
  <si>
    <t>异能塑像（玛瑙犬）</t>
  </si>
  <si>
    <t>巨蟒法杖</t>
  </si>
  <si>
    <t>你可以用一个动作说出该法杖的命令语并把它扔到你周边10尺范围内的地面上。随后，法杖将变为一条巨蟒 giant constrictor snake（资料详见《怪物图鉴》）。巨蟒听从你指挥，并以其自身的先攻行动。用一个附赠动作再次说出命令语可将巨蟒变回法杖形态。在你的回合内，只要巨蟒在你周围60尺内且你并未失能，你就可以通过精神命令控制巨蟒。你可以决定巨蟒下一轮的动作和移动，或是下达宽泛的命令，如“攻击敌人”或“保护某地点”。巨蟒在生命值降至0时死亡，法杖也会随之被摧毁。只要巨蟒的生命没有降至0，它就会在恢复法杖形态时恢复所有失去的生命值。</t>
  </si>
  <si>
    <t>钟铃圣枝</t>
  </si>
  <si>
    <t>这个银色的小物件看起来就像一根树枝，上面正挂着许多金色的小铃铛。你可以将其作为法器。树枝具有3发充能，且每天黎明时恢复1d3发已消耗的充能。可以通过以下方式消耗充能：作为一个附赠动作，你可以消耗1发充能以侦测距离你60尺内的异怪、天界生物、构装体、元素、精类、邪魔与不死生物。若这些生物存在在60尺内且对你没有处于全身掩护，那么金铃便会轻声作响，它们的音调揭示了所存在生物的种类。以一个动作，你可以消耗1发充能施展“防护善恶Protection From Evil and Good”法术。</t>
  </si>
  <si>
    <t>屠杀箭</t>
  </si>
  <si>
    <t>屠杀箭是专门用于杀死某类生物的魔法武器。不同屠杀箭针对的范围可能不同。例如，可能同时存在一种龙类屠杀箭arrows of dragon slaying以及一种蓝龙屠杀箭arrows of blue dragon slaying。属于屠杀箭关联的生物类型、种族或团体的生物受到这种箭伤害时，该生物必须进行一次DC 17的体质豁免。豁免失败的生物将额外受到6d10点穿刺伤害，豁免成功则减半。屠杀箭一旦对某生物造成了额外伤害，它就会立即变成非魔法的箭。除箭之外也存在一些拥有类似效应的其他类型弹药，例如弩使用的屠杀矢，但箭是最常见的。</t>
  </si>
  <si>
    <t>耀光</t>
  </si>
  <si>
    <t>荧光蓝色的短剑使用了水晶材质，利用法术的能量增幅攻击。消耗了一个法术位之后，在你的下个回合结束之前，你以这把魔法武器发动的首次攻击在命中后额外造成等同于该法术位环阶的力场伤害。</t>
  </si>
  <si>
    <t>橄榄球头盔</t>
  </si>
  <si>
    <t xml:space="preserve"> 这个红色头盔具有30点生命值，在生命值变为0时化作粉末。当你佩戴着它，你的步行速度增加10尺。当你佩戴着它受到伤害时，由它代替你承受伤害，溢出的伤害才会由你承受。</t>
  </si>
  <si>
    <t>生命精华胸针</t>
  </si>
  <si>
    <t>戴着这枚无明显特征的胸针时，法术或其他任何能侦测或揭示你的真实生物类别的方法，都会将你视为类人生物。而那些能够揭示你所属阵营的途径都会将你的阵营视为绝对中立。</t>
  </si>
  <si>
    <t>冰雪踪迹</t>
  </si>
  <si>
    <t>冰雪踪迹以毛德皇后绒为主要材质，以冰芯溶液为辅料，由多名专业精灵巧匠制作而成。是一双雪白的过膝丝袜，袜口绑着天蓝色的蕾丝缎带。摸起来柔软顺滑，穿在身上清凉舒适，透气帖服。着装这双丝袜时，你获得以下增益：·你移动时可以将脚下的水面冻结为可供行走的冰面，冰面将在你离开1分钟后融化。·你忽略冰或雪造成的困难地形对移动的影响。·你对冷冻伤害具有抗性。·你能够在没有任何其他保护的情况下忍受低至-50华氏度的气温。如果你穿着厚重的衣服，你能够忍受低至-100华氏度的气温。</t>
  </si>
  <si>
    <t>蛛魔诡计</t>
  </si>
  <si>
    <t>蛛魔诡计代表了多数卓尔阴暗的心理状态。她们从蛛化精灵的腹囊中抽取出丝线，用魔裔精灵的血液将其染黑，由此编织成网状的连裤黑色丝袜，与地底环境融为一体。着装这双丝袜时，你获得以下增益：·你获得等同于步行速度的攀爬速度。可以沿着垂直平面上下移动，甚至可以双手松开倒挂在天花板上。·你不会被任何种类的蛛网困住，忽略它们对移动的影响。·你对暗蚀伤害具有抗性。·恶魔的近战攻击使你生命值降为0时，溢出的伤害不会被记录为负数生命值。若是在生命值为0时继续遭到攻击，正常记录负数生命值。</t>
  </si>
  <si>
    <t>开门钟琴</t>
  </si>
  <si>
    <t>这种空心金属管长约1尺，重1磅。你可以用一个动作敲击它，在将它指向120尺内一个能被打开的物件，比如门、盖子或锁。被敲击的钟琴会发出一个清晰的音调。只要声音可以传到目标物件处，该物件上面的一个锁或者闩就会被打开。如果物件上没有锁闭的锁或闩，则物件本身被打开。开门钟琴可使用10次。第10次后它将碎裂而失去用处。</t>
  </si>
  <si>
    <t>生风铁肺</t>
  </si>
  <si>
    <t>这些金属结节是被制造出来针对终末战争中所使用的毒气的。当你与生风铁肺同调时，你的肺将消失，而它将进入你的身体取而代之。铁肺允许你正常呼吸，这一功能即便在反魔场里也不会被压制。没有受到反魔场或其他任何压制魔法的效果时，铁肺还会允许你在任何环境（包括真空）中呼吸，同时你在对抗有害气体的检定中具有优势，例如死云术、臭云术、吸入性毒素以及喷出气体的喷吐。以一个动作，你可以用铁肺施放一个造风术，该法术将视为由你施放且无任何成分。而后铁肺的这一特性将无法使用，直至次日黎明。如果你与铁肺的同调终止，你原来的肺将会重新出现。</t>
  </si>
  <si>
    <t>概率药水</t>
  </si>
  <si>
    <t>喝下这瓶清澈的药水后，你得到一个概率碎片。它看起来像是一小团灰色的能量球，跟随着你前进，始终与你保持1尺内的距离。碎片持续存在8小时，直到你使用它们。每当你进行攻击，属性或豁免检定时，你可以花费一个概率碎片来骰一个额外的d20，取代一个原本的d20骰。你也可以在被攻击时花费一个概率碎片骰一个额外的d20，取代该次攻击检定中一个原本的d20骰。当你身边拥有通过饮用药水获得的概率碎片时，你无法通过任何途径增加你的概率碎片数量。</t>
  </si>
  <si>
    <t>滑溜之油</t>
  </si>
  <si>
    <t>这种粘稠的黑色油膏装在容器中时看起来十分浓重，但倒出来时却可以迅速流动。油膏可以涂抹于一个中型或更小体型的生物及其着装和携带的装备上。生物的体型每比中型大一级就需要多使用一瓶。使用滑溜之油耗时10分钟，此后受油膏影响的生物获得“行动自如Freedom of Movement”的效应，并持续8小时。你也可以用一个动作把这瓶油膏泼在10平方尺的地面上。该区域将如同被施展了法术“油腻术Grease”，并持续8小时。如果队伍中任何一名角色的法术列表中都不包含“行动自如”，那么滑溜之油的价格提高为2400gp。</t>
  </si>
  <si>
    <t>音爆号角</t>
  </si>
  <si>
    <t>你可以用一个动作说出号角的命令语然后吹响号角。号角将产生30尺锥状范围的音爆，其声音可传播远达600尺。锥状范围内的每个生物必须进行一次DC 15的体质豁免。豁免失败的生物将受5d6点雷鸣伤害并耳聋1分钟，成功则伤害减半且不会耳聋。由玻璃或晶体构成的生物或物件进行该豁免时具有劣势，且会受到10d6而非5d6的伤害。每次使用号角的效应都有20%的概率导致它爆炸，号角也将因此被摧毁且对吹响它的人造成10d6点火焰伤害。</t>
  </si>
  <si>
    <t>雷音铳</t>
  </si>
  <si>
    <t>这把魔法远程武器是一中喇叭形的手枪，它的枪管上雕刻着风暴符文。作为弹药的代替，它从枪管里发出音波作为射击方式。这件武器具有30尺常规射程和90尺最大射程。它在命中时造成1d10雷鸣伤害。你使用这把武器发起的攻击检定与其伤害掷骰具有+1加值。激活符文Invoking the Rune。以一个附赠动作，你可以激活这把武器的符文以向着你周围30尺范围内的一个你可见的点，发射一枚能量弹。能量弹将在那点爆发出湍流飓风与雷鸣电闪。以该点为中心10尺半径球状区域内的每个生物都必须通过一次DC14的体质豁免。豁免失败时，生物将受到3d6点雷鸣伤害，且直到你的下个回合结束前无法执行反应。豁免成功时则伤害减半，也不会无法执行反应。此符文被激活后，直到次日黎明为止都无法被再度激活。</t>
  </si>
  <si>
    <t>蝠鲼斗篷</t>
  </si>
  <si>
    <t>着装此斗篷并拉起兜帽后，你获得60尺游泳速度，并能在水下呼吸。褪下或拉起兜帽需要一个动作。</t>
  </si>
  <si>
    <t>梦族晶体+1</t>
  </si>
  <si>
    <t>只有灵能师或灵能武士才能使用梦族晶体。将梦族晶体移植进自己的身体后，你可以将它作为增幅你异能的法器，你在你灵能师或灵能武士法术的法术攻击骰和法术豁免DC上获得加值。加值取决于晶体的价格。此外，你能够预备一个附赠动作。此特性使用后，直到下次黎明前，不能再次使用。</t>
  </si>
  <si>
    <t>幸运石+1</t>
  </si>
  <si>
    <t>把这块光亮的玛瑙agate带在身上时，你在属性检定和豁免获得加值。加值的数值取决于幸运石的价格。</t>
  </si>
  <si>
    <t>炼金总纲</t>
  </si>
  <si>
    <t>这本褪色、厚重的订本上附着有辛辣的刺鼻气息。这本书的金属拟合件由能够在铜、铁、铅、银与金子这些金属间转换的的凝固中间物质组成。这本书在被找到时，包含了以下法术：“变巨/缩小术Enlarge/Reduce”“羽落术Feather Fall”“融身入石Meld into Stone”“气化形体Gaseous Form”“魔法武器Magic Weapon”“变形术Polymorph”。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变化学派的法术。作为一个动作，你可以触摸一件未被着装或携带的非魔法物件，并消耗一定数量的充能将其转换为另一个物件。以1发充能变化时，该物件的边长不能超过1尺。你可以使用更多的充能来使其上限尺寸增加每充能2尺。新物件的价值必须比原物件低或者相等。</t>
  </si>
  <si>
    <t>攫之鞭</t>
  </si>
  <si>
    <t>你用这把魔法鞭子发动的攻击检定与其伤害掷骰具有+1加值。当你用这把武器命中生物，或是未被着装或携带的物件时，若目标的体型不超过大型，你就能作为攻击伤害的代替，将那个生物或物件向你拉近5尺。</t>
  </si>
  <si>
    <t>淬毒匕首</t>
  </si>
  <si>
    <t>使用此魔法武器进行攻击检定和伤害掷骰时获得+1加值。你可以用一个动作使匕首涂上毒液。毒液存在1分钟，或直至你用这把武器成功命中某名生物。被击中生物必须进行一次DC 15的体质豁免，豁免失败则受2d10点毒素伤害并中毒1分钟。直到次日黎明前，该匕首都无法再以该方式进行使用。</t>
  </si>
  <si>
    <t>强化适应项链</t>
  </si>
  <si>
    <t>运动健将手套</t>
  </si>
  <si>
    <t>着装该手套时，攀爬和游泳不会消耗额外移动力。你进行攀爬与游泳相关的力量（运动）检定时获得+5加值。</t>
  </si>
  <si>
    <t>月镰+1</t>
  </si>
  <si>
    <t>只有德鲁伊或游侠才能使用月镰。这把银刃镰刀闪烁着柔和的月光。它既可以当作施展德鲁伊或游侠法术的法器，也可以当作一件魔法武器。你用其作为武器发动的攻击检定和伤害掷骰，与用其作为法器施展的德鲁伊或游侠法术的法术攻击检定与法术豁免DC上具有加值。加值取决于镰刀价格。当你施展一道恢复生命值的法术时，你可以骰一枚d4并将所得结果加入回复的生命值中。这个效果能够增幅“神莓术”总计10d4的回复量。</t>
  </si>
  <si>
    <t>魔力药水（四环）</t>
  </si>
  <si>
    <t>灵马哨笛（巨蜘蛛）</t>
  </si>
  <si>
    <t>塞壬之歌竖琴</t>
  </si>
  <si>
    <t>你可以用一个动作弹奏这把琴，并从中施放下列法术之一：化兽为友、魅惑人类、注目术、暗示术。一旦该琴被用来施法，在下一个黎明之前不能再用来施展同一法术。</t>
  </si>
  <si>
    <t>搜敌魔杖</t>
  </si>
  <si>
    <t>这把魔杖有7发充能。持握此魔杖时，你可以用一个动作说出命令语并消耗1发充能。你以此获知60尺内离你最近对你有敌意的生物所在方向，但不知道距离，效应持续1分钟。魔杖可以感知可见的、隐形的、灵体的、伪装的以及躲藏的生物。你不再持握魔杖时，其效应也随之终止。该魔杖每天黎明时恢复1d6+1发已消耗的充能。当充能耗尽时，骰一次d20。如果骰值为1，魔杖将化为灰烬而毁灭。</t>
  </si>
  <si>
    <t>射手护腕</t>
  </si>
  <si>
    <t>着装这对护腕时，你获得长弓longbow和短弓shortbow的熟练项。你使用这些武器发动远程攻击时，其伤害掷骰获得+2加值。</t>
  </si>
  <si>
    <t>防御护腕</t>
  </si>
  <si>
    <t>着装这对护腕时，如果你没有穿着护甲也没有使用盾牌，则你的AC获得+2加值。</t>
  </si>
  <si>
    <t>骑士腰带</t>
  </si>
  <si>
    <t>骑士腰带通过快速换装，帮助超级英雄隐藏自己的身份。你的骑士腰带是一件次元容器，可以储存至多五件装备，包括武器、护甲、服饰等，但不能包括腰带。存放或取出一件装备需要一个动作。你还可以用一个动作说出命令语，将骑士腰带内部储存的所有装备全部着装在身上，并立即与其中需要同调的魔法物品完成同调。你原本正在穿戴的对应身体部位的装备，则会被收纳进骑士腰带，其中需要同调的魔法物品会立即与你断开同调。你无法把一件次元容器放进另一件次元容器中。</t>
  </si>
  <si>
    <t>元素宝石</t>
  </si>
  <si>
    <t>这种宝石蕴藏着操纵元素的能量。你可以用一个动作来打碎宝石，其效应等同于你施展法术“召唤元素生物Conjure Elemental”一样，召唤出一个元素。被打碎的宝石也将失去魔力。宝石的种类决定了法术所召唤的元素。</t>
  </si>
  <si>
    <t>折叠船</t>
  </si>
  <si>
    <t>该物件外观看起来是个长12寸，宽6寸，深6寸的木盒。它重4磅且能在水面上漂浮，也可以像普通木盒一样装东西。该物品有三个命令语，说出一个命令语需要一个动作。第一个命令语能使盒子展开成一条长10尺，宽4尺，深2尺的小船boat。小船有一对桨、一个锚、一根桅杆和一面三角帆。它最多可以搭乘四名中型体型的生物。第二个命令语能使盒子展开成一条长24尺，宽8尺，深6尺的船ship。这艘船有一块甲板、划桨座、五对桨、一个舵桨、一个锚、一个甲板舱以及一根装有横帆的桅杆。它最多可以搭乘15名中型体型的生物。木盒展开成船只时，它的重量也变为对应船只应有的重量。原本存放在木盒中的东西将留在船内。当没有生物在折叠船上时，第三个命令语能使展开的船只变回木盒。船内无法装入木盒中的物件会在折叠时留在外面，可以装入木盒的物件则会留在盒内。</t>
  </si>
  <si>
    <t>共享次元袋</t>
  </si>
  <si>
    <t>共享次元袋是一个黄色袋子和四个蓝色袋子，所有袋子的开口都联通着同一个异次元空间。该空间可以容纳至多1000磅，体积不超过125立方尺的物件。生物可以用一个动作，向黄色袋子内取出或存放一件物品。如果蓝色袋子与黄色袋子相距不超过1英里且有效果线连接，生物也可以用一个动作，向蓝色袋子内取出或存放一件物品。你无法把一件次元容器放进另一件次元容器中。</t>
  </si>
  <si>
    <t>魔术袋</t>
  </si>
  <si>
    <t>这种普通布袋有三种不同颜色的版本：灰色、铁锈色和棕褐色。布袋看起来是空无一物，但把手伸进去会摸到一个小小的毛绒物件。整个袋子重1/2磅。你可以用一个动作取出布袋里的毛绒物件，并把它扔出至多20尺远。当物件落地时骰一次d8，参考对应颜色布袋的表格决定物件变成的生物。相关生物的资料见《怪物图鉴》。该生物在次日黎明时分消散，其生命值降至0时也随即消失。扔出的生物对你和你的同伴态度友善，且会在你的回合内行动。你可以用一个附赠动作命令该生物在其下一回合执行特定的移动方式，做特定的动作。你也可以下达宽泛的命令，例如攻击你的敌人。没接到命令时，该生物按自己天性行动。袋子抽出三件毛绒物件后，要经过下次黎明才能再用。</t>
  </si>
  <si>
    <t>性别药水</t>
  </si>
  <si>
    <t>饮用此药水后，你的性别变为另一种。如果你的种族仅有一种或者没有性别，此药水对你无效；如果你的种族拥有三种或更多性别，从除了你一开始的性别以外，随机挑选一种，变为该性别。</t>
  </si>
  <si>
    <t>虔信护符+1</t>
  </si>
  <si>
    <t>只有牧师或圣武士才能使用虔信护符。这件护符载有一位神祇的圣徽，由珍稀石料或金属雕刻。当佩戴这枚护符时，你在你牧师或圣武士法术的法术攻击骰和法术豁免DC上获得加值，加值取决于护符的价格。你可以使用一次你的引导神力特性而不消耗特性的使用次数。此属性使用后，直到下次黎明前，不能再次使用。</t>
  </si>
  <si>
    <t>防护斗篷+1</t>
  </si>
  <si>
    <t>着装此斗篷后，你的AC和豁免获得加值。加值的数值取决于斗篷的价格。</t>
  </si>
  <si>
    <t>防御戒指+1</t>
  </si>
  <si>
    <t>着装这枚戒指时，你的AC和豁免获得加值。加值的数值取决于戒指的价格。</t>
  </si>
  <si>
    <t>血光剑</t>
  </si>
  <si>
    <t>这把武器造成的伤害只能通过短休或长休恢复。再生、魔法或其他任何手段都无法治愈这种伤害。你每回合有一次机会，在用该剑命中一名生物时对它造成流血效应。在目标的每回合开始时，它将因每层流血效应受1d4点暗蚀伤害。之后，它可以进行一次DC 15的体质豁免，成功则终止自己承受的所有流血效应。另外，流血的生物或是它周围5尺内的其他生物可以用一个动作进行一次DC 15的感知（医药）检定，成功则终止该生物承受的所有流血效应。</t>
  </si>
  <si>
    <t>狂战斧</t>
  </si>
  <si>
    <t>你使用此魔法武器进行攻击检定和伤害掷骰时获得+1加值。此外，与该武器同调后，你的生命值上限将增加等于你等级的数值。诅咒Curse。与这把受诅咒的斧子同调的生物将受到其诅咒影响。只要诅咒还在生效，你总是会把斧子放在触手可及的地方，不愿与它分开。除非你在60尺范围内看不到任何敌人也听不到任何敌人的声音，否则你使用这把斧子之外的任何武器发动攻击检定时具有劣势。敌对生物在你持有斧子时对你造成伤害时，你必须进行一次DC 15的感知豁免，豁免失败则陷入嗜血状态。当你在开始自己的回合时周围60尺范围内没有你能看到或听到声音的生物时，狂怒终止。</t>
  </si>
  <si>
    <t>羽落戒指</t>
  </si>
  <si>
    <t>着装这枚戒指时，你在坠落中每回合只会下降60尺，并且不会受到坠落伤害。</t>
  </si>
  <si>
    <t>支配动物戒指</t>
  </si>
  <si>
    <t>这枚戒指有3发充能，且每天黎明时恢复1d3发已消耗的充能。着装这枚戒指时，你可以用一个动作并消耗1发充能以施展下列法术其一：·化兽为友animal friendship·恐惧术Fear，目标只能是智力为3或更低的野兽·动物交谈speak with animal</t>
  </si>
  <si>
    <t>坚不可摧药水</t>
  </si>
  <si>
    <t>饮用此药水后，你获得对所有伤害的抗性，持续1分钟。这种粘稠的药水看起来就像液化的钢铁。</t>
  </si>
  <si>
    <t>妖精荒野碎晶</t>
  </si>
  <si>
    <t>这块温暖的水晶闪烁着妖精荒野天空的暮色,并带有着唤醒情感记忆的低语。作为一个动作，你可以将碎晶附上一件微型物件（如一把武器或一块珠宝）或摘下。当同调结束时它会掉落下来。当你持握或穿戴碎晶时，你可以将其作为法器使用当你持握或穿戴碎晶，并在一道法术上添加一种超魔效果，消耗了至少1点术法点时，你可以骰一次牧师的狂野魔法浪涌表格。如果结果是一道法术，则其因为过于狂野而不会受到你的超魔法效应影响，若其一般需要专注，则其不需要专注；该法术维持完整的持续时间。如果你没有狂野领域，则在投掷狂野魔法浪涌表格后，直到下次黎明前，不能再次使用该属性。</t>
  </si>
  <si>
    <t>吟游诗人乐器（安眠鲁特琴）</t>
  </si>
  <si>
    <t>吟游诗人乐器是乐器中的精品，在各方面都优于普通乐器。这类乐器共有七种，每种都以一个传奇吟游诗人学院的名字命名。下表列出了每种乐器的稀有度、乐器间共通的法术以及每种乐器独有的法术。未与一件吟游诗人乐器同调的生物在尝试弹奏它时必须成功通过一次DC15的感知豁免否则将受2d4点心灵伤害。你可以用一个动作演奏乐器并施展它的一个法术。一旦乐器被用来施展了某一法术，直到次日黎明前它都无法再被用来施展同一个法术。当你用乐器施展目标豁免失败则陷入魅惑的法术时，该目标的豁免具有劣势。你使用乐器施展的法术和以乐器为法器施展的法术都可以享受这个效果。</t>
  </si>
  <si>
    <t>铭记药水（6环）</t>
  </si>
  <si>
    <t>异能塑像（黄铁矿石蛇颈龙）</t>
  </si>
  <si>
    <t>冥河之剑</t>
  </si>
  <si>
    <t>这柄剑的黑色剑刃由一种神秘的奥术合金所制成。你在用该魔法武器发动攻击检定与伤害掷骰时获得+1加值。携带此剑时，你免疫将你转化为不死的效应。黑暗馈赠。持握此剑时，你可以用一个动作使自己获得1d4+4点临时生命值。第二天黄昏前，此特性无法再次使用。沮丧打击。你使用此武器发动攻击并命中一个生物时，你可以让该目标的内心充满恐惧与不安。在你的下一回合结束前，该目标进行的的下一次豁免具有劣势。免疫恐慌的生物将不受此特性影响。第二天黄昏前，此特性无法再次使用。</t>
  </si>
  <si>
    <t>酒鬼护符</t>
  </si>
  <si>
    <t>这枚护符闻起来像散发着淡淡的麦酒香气的旧木头。着装此护符时，你可以喝下一品脱的啤酒，麦酒或红酒以回复4d4+4点生命值，喝酒是一个交互动作。第二天黎明前，此特性无法再次使用。</t>
  </si>
  <si>
    <t>次元洞</t>
  </si>
  <si>
    <t>这块丝绸般顺滑的黑色布料展开时为直径6尺的圆形，也可以被折叠成手帕大小。你可以用一个动作展开次元洞并把它放在某个坚实的表面上。次元洞随即打开一个10尺深的异次元孔洞。次元洞内的圆柱形空间存在于异位面，因此不能被用来打开通道。次元洞打开时，其内部的生物可以攀爬而出。你可以用一个动作抓住布料的边缘把它折叠起来以关闭次元洞。次元洞关闭后，任何留在其内部的生物和物件仍留存在异次元空间中。无论内部装了什么，次元洞的重量都可以忽略不计。次元洞关闭后，洞中的生物可以用一个动作进行DC 10的力量检定。如果检定成功，则该生物从洞中钻出，出现在次元洞或携带它的人周围5尺内某处。在关闭的次元洞中，一名需要呼吸的生物在开始窒息之前可以存活10分钟。你无法把一件次元容器放进另一件次元容器中。</t>
  </si>
  <si>
    <t>异能塑像（乌木蝙蝠）</t>
  </si>
  <si>
    <t>念珠项链（疗伤术（2环）或次级复原术）</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</si>
  <si>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珠子类型：疗愈；法术：疗伤术（2环）或次级复原术</t>
  </si>
  <si>
    <t>两面花言</t>
  </si>
  <si>
    <t>这本书对你来说是一本魔法法术书。对其他人而言，这本书看起来只是一本冗长的浪漫小说。作为一个动作，你可以改变书籍的外观和其中的浪漫故事。这本书在被找到时，包含了以下法术：“幻景Hallucinatory Terrain”“高等幻影Major Image”“镜影术Mirror Image”“假象术Mislead”“涅斯图魔法灵光Nystul’s Magic Aura”“魅影之力Phantasmal Force”“无声幻影Silent Image”。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幻术学派的法术。当一个你可见的生物进行一次智力（调查）检定来看穿你所施展幻术系法术的本质，或对你施展的一道幻术系法术进行豁免时，你可以用一个反应并消耗1发充能使其在这次检定中具有劣势。</t>
  </si>
  <si>
    <t>灵肉圣契</t>
  </si>
  <si>
    <t>这本书的封面制以人皮，饰以白骨，触摸时手感冰凉，并发出微微低语。这本书在被找到时，包含了以下法术：“操纵死尸Animate Dead”“死亡法阵Circle of Death”“虚假生命False Life”“死亡一指Finger of Death”“死者交谈Speak With Dead”“亡灵召唤术Summon Undead”“吸血鬼之触Vampiric Touch”。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死灵学派的法术。作为一个动作，你可以消耗1发充能并伪装成亡灵10分钟。在持续时间内，你外表上如同死者，并且不死生物会忽略你，除非你伤害它们。面对所有的外部检查和侦测法术时，你也只会被显示为不死生物。此效应在你造成伤害或使一个生物进行豁免检定时结束。</t>
  </si>
  <si>
    <t>吟游诗人乐器（麦克-弗瑞米西特琴）</t>
  </si>
  <si>
    <t>屏障刺青（15+敏捷调整值（最大+2））</t>
  </si>
  <si>
    <t>该魔法刺青用一根特殊的针制作，用液态金属般的墨水绘有代表防护的图案。
刺青同调。 同调此物品时，你需要将针持握，并抵在你想要让刺青出现的那处皮肤上。当同调完成时，针头会化为墨水再变成刺青。若你与刺青的同调结束，刺青会消失，针头会再次出现在你的位置中。
防护。当你没有穿戴盔甲的时候，刺青会给予你下方列出的由刺青的珍稀度决定的护甲等级。基础AC：15+敏捷调整值（最大+2）</t>
  </si>
  <si>
    <t>灵马哨笛（骷髅战马）</t>
  </si>
  <si>
    <t>念珠项链（御风而行）</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</si>
  <si>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珠子类型：风行；法术：御风而行</t>
  </si>
  <si>
    <t>荧光符文颜料（盾牌符文）</t>
  </si>
  <si>
    <t>这组1d4+2个小罐中装着用粉碎荧光宝石制成的颜料。这种魔法颜料被用于在生物的皮肤上绘制符文，而受绘生物也将被赠予一种临时性的魔法馈赠。一小罐颜料包含了足够绘制出一个符文的颜料。一个生物可以花费10分钟时间来在自己身上或其他人身上绘制出以下符文之一：盾牌符文Shield Rune。受绘生物在对抗造成伤害的效应时，所进行的敏捷豁免将具有优势。每罐2000gp。每个生物只能同时受益于一个绘制符文。除非老的符文被移除，否则一个新的符文被绘制到了生物身上后将不会有任何效果。符文的增益将持续存在8小时，若受绘生物用它的动作擦除符文，符文的增益将提前消失。</t>
  </si>
  <si>
    <t>瓦尔哈拉号角</t>
  </si>
  <si>
    <t>你可以用一个动作吹响号角。作为回应，一名来自约瑟园Ysgard的战士英灵将在你周围60尺内出现，并服从你的命令。该英灵使用《怪物图鉴》上狂战士berserker的资料。生命值降至0或死亡，或者1小时之后，他将返回约瑟园。使用后，号角需要到次日黎明才能再次启动。</t>
  </si>
  <si>
    <t>夜之杖</t>
  </si>
  <si>
    <t>这枝用染成暗色的木头雕刻而成的权杖中，嵌入了多位神祇的标记。夜之杖具有4发充能，在每日黎明时恢复所有充能。当你携带着夜之杖，使用“引导神力”特性去驱散某些生物时，你可以消耗1发充能，让这次驱散不消耗引导神力的使用次数。</t>
  </si>
  <si>
    <t>血怒巨斧</t>
  </si>
  <si>
    <t>若你的生命值为一半或更少，则你用这把武器发动的攻击检定与其伤害掷骰就将具有+2加值。</t>
  </si>
  <si>
    <t>蕈孢木甲</t>
  </si>
  <si>
    <t>穿着这套盔甲期间，你可以以附赠动作让这套盔甲向四周释放出剧毒的孢子，孢子将充满以你为中心的10尺半径球状区域。任何在这片区域内的生物都必须通过一次DC15的体质豁免，豁免失败将陷入“中毒Poisoned”状态，持续直至你的下一回合结束。此属性一旦被使用，直到次日黎明前都无法被再次使用。（译注：以自己为中心，而非自己周围。这个描述一定会误伤自己。）</t>
  </si>
  <si>
    <t>次元镣铐</t>
  </si>
  <si>
    <t>你可以用一个动作来以此镣铐拘束一个失能的生物。镣铐可以自行调整适应各种体型的生物。除普通镣铐的作用之外，次元镣铐还会让穿戴它的生物处于锚定状态。但是，镣铐不会阻止生物穿过一道连接异位面的传送门。你和你指定的任何生物能用一个动作解除此镣铐。每隔30日，被拘束的生物可以进行一次DC30的力量（运动）检定，成功则破坏镣铐重获自由。</t>
  </si>
  <si>
    <t>无尽烟壶</t>
  </si>
  <si>
    <t>这个重1磅，带铅塞的黄铜瓶子会渗出烟雾。如果你用一个动作拔掉瓶塞，一团浓重的云雾将从瓶中涌出，并扩散到瓶子周围60尺半径范围。被云雾笼罩的区域视处于重度遮蔽。只要瓶子保持开启，每1分钟云雾的半径会扩大10尺，直至达到120尺。只要瓶子保持开启，该云雾就会持续存在。用一个动作说出命令语可以使瓶子关闭。瓶子关闭后，云雾将在10分钟后消散。一阵和风moderate wind（11至20里每小时）可以用1分钟吹散云雾，而强风strong wind（11至20里每小时）则可以用1轮吹散云雾。</t>
  </si>
  <si>
    <t>喷流式奥能臂</t>
  </si>
  <si>
    <t>这是一种由卡尼斯家族奇械师研发的假肢。要想同调该奇物，你必须将其接在残缺的手腕、肘部或肩膀上，然后这件假肢就会变成原先你丧失肢体的样貌。完成同调后，这件假肢提供你如下收益：•假肢完全成为了你身体的一部分，即使在魔法失效的区域也能正常活动。•你可以使用一个动作卸下假肢，且当你解除与假肢的同调时，它将自动脱卸。但假肢无法在违背你意愿的情况下被移除。•假肢是一件魔法近战武器，你对其拥有熟练。假肢能造成1d8点力场伤害，且具有投掷特性，其射程为20尺，最大射程60尺。当你将假肢投掷出去时，它将脱离并飞向攻击目标，然后立即返回你身边并重新连接。</t>
  </si>
  <si>
    <t>光彩夺目宝石</t>
  </si>
  <si>
    <t>这块棱形宝石有50发充能。持握该宝石时，你可以用一个动作说出宝石的三个命令语之一并造成如下效应：第一个命令语令宝石发出亮光，提供30尺的明亮光照和其外30尺的微光光照。此效应将持续到你用一个附赠动作再次说出该命令语，或你使用宝石的另一能力为止。这种用法不会消耗充能。第二个命令语消耗1发充能，令宝石向60尺内你能看见的一个生物发出一道耀眼的光束。该生物必须成功通过一次DC 15的体质豁免否则目盲1分钟。该生物在每次它自己的回合结束时可以再次进行该豁免，成功则目盲状态终止。第三个命令语消耗5发充能，令宝石以自身为原点对30尺锥状范围放出刺眼的光芒。范围内的每个生物必须成功通过与第二项功能相同作用的豁免。耗尽充能后，此宝石变为价值50gp的普通宝石。</t>
  </si>
  <si>
    <t>石匠战镐</t>
  </si>
  <si>
    <t>你用这把魔法战镐发动的攻击检定与其伤害掷骰具有+1加值。且它具有以下的特殊属性：融身入石Meld into Stone。你可以用这把战镐施展法术 融身入石Meld into Stone 。一旦此属性被使用，直到次日黎明前不能被再次使用。石化Petrification。这把战镐具有1d6+1发充能。如果你对一个生命值不满100点的生物掷出了一次重击，你可以消耗1发充能，迫使该生物通过一次DC15的体质豁免。豁免失败时，生物将陷入 石化Petrified 状态，持续8小时。当战镐的充能数归零后，它失去这条属性。</t>
  </si>
  <si>
    <t>回旋战盾</t>
  </si>
  <si>
    <t>你可以用这把魔法盾牌发动远程武器攻击，视为魔法武器攻击。它具有20尺的通常射程与60尺的最大射程，且它的攻击检定使用你的力量属性或敏捷属性（由你选择）。如果你具有盾牌的熟练项，那么你也将熟练于用这把盾牌发起的攻击检定。命中时，它将造成1d6点挥砍伤害。如果你投掷了盾牌，不论是攻击是否命中，它都会在攻击后立刻重新飞回你的手上。</t>
  </si>
  <si>
    <t>加速马蹄铁</t>
  </si>
  <si>
    <t>这些马蹄铁四个为一套。当一匹马或类似的生物同时着装四个马蹄铁时，它的步行速度将增加30尺。队伍中有半人马或类似身体结构的玩家时，加速马蹄铁的价格提高为4200gp。</t>
  </si>
  <si>
    <t>异能塑像（蛇纹石猫头鹰）</t>
  </si>
  <si>
    <t>凋零法杖</t>
  </si>
  <si>
    <t>凋零法杖有3发充能，且每天黎明时恢复1d3发已消耗的充能。该法杖可以用作一把魔法长棍持用。当你用这把法杖命中目标时，除了造成普通长棍的伤害外，你还可以消耗1发充能以对目标造成额外2d10点黯蚀伤害。此外，目标必须成功通过一次DC 15的体质豁免否则它基于力量或体质的属性检定或豁免检定将具有劣势，其效应持续1小时。</t>
  </si>
  <si>
    <t>贱民之盾</t>
  </si>
  <si>
    <t>即使是那些清楚被授贱民之盾这一荣誉处于最低等的波洛斯士兵，也为得到这块盾牌而倍感荣幸。盾牌外表面雕塑刻画着一名苦恼人类的面容。持握盾牌时，5尺内每有2名盟友，你的AC在原有加值上额外提升1，最大为提升3。当5尺内一个你可见的生物受到伤害，你可以用反应代替他承受此次伤害，这时该伤害类型改为力场伤害。</t>
  </si>
  <si>
    <t>旅人之靴</t>
  </si>
  <si>
    <t>这双靴子使用坚固耐用的布料制成，金色的丝线在两只靴子的脚后跟上各缝纫着旅途符文。穿着这对靴子期间，你的步行速度增加10尺，且你进行的感知（求生）检定具有优势。激活符文Invoking the Rune。以一个附赠动作，你可以激活这对靴子上的符文以用其施展法术“脚底抹油expeditious retreat”。此符文被激活后，直到次日黎明为止都无法被再度激活。（译者注：旅途符文同时也是神迪安卡斯特拉的圣徽）</t>
  </si>
  <si>
    <t>米捷轰击炮</t>
  </si>
  <si>
    <t>口径6寸，长约2尺的短管由米捷制成，这种由伊捷联盟锻造的合金受过魔力强化。短管指向目标的末端为开口，只要轰击炮留有1发或更多充能，即可见到另一端放置着液化金属构成的发光球。该装置有4发充能，可用于以下属性，且每天黎明时恢复1d4发已消耗的充能。热融喷射Molten Spray。你可以用一个动作消耗1发充能释放热融米捷，30尺锥状区域内每个生物必须进行一次DC为15的敏捷豁免，豁免失败则受到5d4火焰伤害，豁免成功则伤害减半。米捷轰炸Mizzium Bombard。你可以用一个动作消耗3发充能，指定60尺内你能看见的一点，并在以此为中心、20尺半径、40尺高的柱状区域抛掷一阵热融米捷雨。该区域内每个生物都必须进行一次DC为15的敏捷豁免，豁免失败则受到5d8火焰伤害，豁免成功则伤害减半。</t>
  </si>
  <si>
    <t>异能塑像（大理石象）</t>
  </si>
  <si>
    <t>织心入门</t>
  </si>
  <si>
    <t>这本书朴实无华，闻起来时有随机一种你喜欢的气味。这本书在被找到时，包含了以下法术：“嫌恶/关怀术Antipathy/Sympathy”“魅惑人类Charm Person”“支配人类Dominate Person”“注目术Enthrall”“催眠图纹Hypnotic Pattern”“篡改记忆Modify Memory”“暗示术Suggestion”。你可以将其作为法术书。当你持握这本书时，你可以将其作为你法师法术的法器。这本书具有3发充能，且每天黎明时恢复1d3发已消耗的充能。可以通过以下方式消耗充能：如果你花费1分钟时间研究这本书，你可以消耗1发充能来将你的一道已准备法术替换为书中的另一道法术。新法术必须是附魔学派的法术。当你施展一道附魔系法术时，你可以消耗1发充能让目标在对抗法术的第一个豁免检定上具有劣势。</t>
  </si>
  <si>
    <t>屠尸者</t>
  </si>
  <si>
    <t>你在使用该魔法武器发动攻击检定与伤害掷骰时获得+1加值。你使用此武器发动攻击并命中一个不死生物时，该生物将额外受到1d8点伤害，伤害类型取决于武器本身的伤害类型。该生物将在你的下一个回合开始前，对引导神力：驱散不死生物的豁免具有劣势。在《施特拉德的诅咒》模组中，屠尸者的价格提高为4600gp。</t>
  </si>
  <si>
    <t>引弹盾</t>
  </si>
  <si>
    <t>持握此盾牌时，你对远程武器造成的伤害具有抗性。诅咒Curse。与这面受诅咒的盾牌同调的生物将受到其诅咒影响。摘下盾牌不会终止诅咒，只有对你施展移除诅咒remove curse或类似的魔法才能移除。受诅咒影响时，任何瞄准你周围10尺内目标的远程武器攻击都将转为攻击你。</t>
  </si>
  <si>
    <t>吟游诗人乐器（佛克路坎七弦琴）</t>
  </si>
  <si>
    <t>异能塑像（青铜狮鹫）</t>
  </si>
  <si>
    <t>艾恩石（再生）</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</si>
  <si>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颜色：珍珠白
类型：再生
效果：每经过一小时，只要你尚有1点生命值，就可以恢复15点生命值。</t>
  </si>
  <si>
    <t>增强盾牌+2</t>
  </si>
  <si>
    <t>念珠项链（祝福术）</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</si>
  <si>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珠子类型：祝福；法术：祝福术</t>
  </si>
  <si>
    <t>恐惧之锤</t>
  </si>
  <si>
    <t>这把魔法武器有3发充能。持握它时，你可以用一个动作并消耗一发充能来释放一股恐惧波动。你周围30尺半径内每个被你指定的生物必须成功通过一次DC 15的感知豁免否则对你恐慌1分钟。受该恐慌影响的生物必须在自己的回合尽全力向远离你的方向移动，且无法主动进入你周围30尺范围内也无法执行反应。它的只能选择疾走Dash动作或是试图脱离阻止它移动的效果。如果无处可逃，则它可以使用闪避Dodge动作。每个该生物的回合结束时，它都可以再次进行该豁免，成功则终止其自己身上的该效应。每天黎明时恐惧之锤将恢复1d3发充能。</t>
  </si>
  <si>
    <t>诸神之盔</t>
  </si>
  <si>
    <t>戴上这个头盔的时候，你可以知道在你30尺范围内是否有天界生物或邪魔，以及该生物所在的位置，前提是该生物不处于全掩护状态。每当你戴着头盔完成长休息时，你可以向诸神之盔表上所列的一个神明祈祷，并将所列的法术储存在头盔中，取代任何已经储存在那里的法术。头盔有3发充能。要从头盔中施放一个法术，你必须消耗1发充能，头盔每天黎明时恢复1d3发充能。法术列表：防护善恶（雅睿欧斯Athreos）、庇护术（厄芳拉Ephara）、造成轻伤（厄睿柏斯Erebos）、曳光弹（赫利欧德Heliod）、英勇气概（伊洛安斯Iroas）、神莓（卡拉美特拉Karametra）、雷鸣斩（刻拉诺斯Keranos）、纠缠术（克洛缇丝Klothys）、不谐低语（克罗芬斯Kruphix ）、炼狱叱喝（墨癸斯Mogis）、妖火（倪勒娅Nylea）、次级复原术（芳瑞卡Pharika）、魅惑人类（斐纳克Phenax）、炽焰斩（普罗烽斯Purphoros）、鉴定术（塔萨Thassa）</t>
  </si>
  <si>
    <t>纠缠绳</t>
  </si>
  <si>
    <t>这条绳索长30尺，重3磅。你可以握住绳索的一端并用一个动作说出命令语，绳索的另一端将疾速飞出困住你周围20尺内一名你能看见的生物。该生物必须成功通过一次DC 15的敏捷豁免否则被束缚。你可以用一个附赠动作说出另一命令语以释放被束缚的生物。被束缚的生物也可以用一个动作进行一次DC 15的力量检定或敏捷检定（由该生物选择），检定成功则挣脱束缚。绳索拥有AC20和60点生命值。只要还剩至少1点生命值，绳索就能每5分钟恢复1点生命值。如果绳索的生命值降至0，则它被摧毁。</t>
  </si>
  <si>
    <t>显像提灯</t>
  </si>
  <si>
    <t>这盏带罩提灯点燃时提供30尺的明亮光照和其外30尺的微光光照。1品脱油可以供提灯燃烧6小时。处于提灯明亮光照范围内的隐形生物或物件将被其显形。你可以用一个动作降下灯罩，让提灯仅在5尺内提供微光光照。</t>
  </si>
  <si>
    <t>转世尘</t>
  </si>
  <si>
    <t>当这一小袋紫色的灰尘洒在一个死去生物的一部分身体时，这些灰尘会被尸体吸收。如果灵魂愿意的话，死去的生物会带着一个新的身体复活，就像在尸体上施了转生术reincarnate一样。</t>
  </si>
  <si>
    <t>魔网碎片指环+1</t>
  </si>
  <si>
    <t>这枚指环上镶嵌的蓝宝石里含有银丝纹路，那是远古时期的魔网碎片。当带着戒指时，你的法术豁免DC和法术攻击检定获得加值。加值的数值取决于戒指的价格。</t>
  </si>
  <si>
    <t>毁灭链枷</t>
  </si>
  <si>
    <t>这把灰色的连枷摸起来是冰冷的。使用这把魔法武器进行的攻击检定和伤害掷骰获得+1加值，并且对物件和建筑物造成双倍伤害。此外，当你用此武器击中生物时，你可以迫使该生物进行 DC15的体质豁免检定。若豁免失败，则该生物中毒1分钟。中毒生物在每个回合开始时都会受到2d4点黯蚀伤害。该生物可以在每个回合结束时重复豁免检定，成功后结束该效应对自身的效果。此项属性一经使用，直到下次黎明前不能再次使用。</t>
  </si>
  <si>
    <t>恶魔护甲</t>
  </si>
  <si>
    <t>着装该护甲后你的AC获得+2加值，且可以理解和说出深渊语。另外，护甲附带利爪般的铁护手可以令你用手进行徒手打击时，视为魔法武器并造成1d8挥砍伤害，你以此发动的攻击检定和伤害掷骰获得+1加值。诅咒Curse。着装这件被诅咒的护甲后，除非你被施予法术“移除诅咒Remove Curse”或类似的魔法效应，否则你无法将其卸下。着装该护甲后，你对恶魔进行的攻击检定，以及对抗恶魔法术和特殊能力时进行的豁免检定均具有劣势。在《逃离深渊》模组中，恶魔护甲的价格降低为500gp。</t>
  </si>
  <si>
    <t>游龙披风</t>
  </si>
  <si>
    <t>你获得两枚卓越骰，只能用来发动游龙流战技。</t>
  </si>
  <si>
    <t>摘星戒指</t>
  </si>
  <si>
    <t>你获得两枚卓越骰，只能用来发动摘星流战技。</t>
  </si>
  <si>
    <t>开山单衣</t>
  </si>
  <si>
    <t>你获得两枚卓越骰，只能用来发动开山流战技。</t>
  </si>
  <si>
    <t>神机镜片</t>
  </si>
  <si>
    <t>你获得两枚卓越骰，只能用来发动神机流战技。</t>
  </si>
  <si>
    <t>混元脚镯</t>
  </si>
  <si>
    <t>你获得两枚卓越骰，只能用来发动混元流战技。</t>
  </si>
  <si>
    <t>飞翼斗篷</t>
  </si>
  <si>
    <t>着装这件斗篷时，你可以用一个动作说出它的命令语，并将斗篷转变为你背上的一对蝙蝠翅膀或鸟类翅膀。这种转变持续1小时或直到你再次用一个动作说出命令语。这对翅膀赋予你60尺的飞行速度。斗篷使用完毕后，你必须再等待1d12小时才能再次启动它。</t>
  </si>
  <si>
    <t>解除石</t>
  </si>
  <si>
    <t>这个光滑的彩虹色卵形石头可以被扔到至多20尺远的地方，在冲击下爆炸，创造一个10尺半径的球体范围，石头随即被摧毁。范围内所有五环及更低环阶的法术被终止（无法被“解除魔法”解除的法术不受影响）。</t>
  </si>
  <si>
    <t>龙触法器（沉睡）</t>
  </si>
  <si>
    <t>这个物品可以是法杖、法球、护符、水晶或其他的精制物件。它通常包含有龙的翅膀、爪子、牙齿或鳞片的象形。
沉睡。你的先攻检定具有优势。当你持握这件法器时，它可以作为你施展所有法术的法器。</t>
  </si>
  <si>
    <t>X射线戒指</t>
  </si>
  <si>
    <t>着装此戒指时，你可以用一个附赠动作说出命令语启动戒指的效应。启动后，你获得可以看到实体物件内部或穿透它看到后方的特殊视觉，其半径为30尺，持续1分钟。对你而言，此视觉范围内的实体均为透明状态，并且不会阻碍光线通过。此视觉可以穿透1尺厚的石头、1寸厚的普通金属、或是至多3尺厚的木头或泥土。更厚的物件，或是一层铅片，将阻碍这种视觉。如果你在一次长休前尝试再次启动这枚戒指，则必须成功通过一次DC15的体质豁免否则将提升一级力竭。</t>
  </si>
  <si>
    <t>绝对躲避戒指</t>
  </si>
  <si>
    <t>这枚戒指有3发充能，且每天黎明时恢复1d3发已消耗的充能。着装这枚戒指时，如果你进行敏捷豁免失败，则你可以用你的反应消耗1发充能使该豁免成功。</t>
  </si>
  <si>
    <t>守御诗篇</t>
  </si>
  <si>
    <t>这本书由皮革装订，用钢铁和银加固，带有钢锁（开锁DC20）。作为一个动作，你可以触碰书的封面并将其上锁，如同你施展了“秘法锁Arcane Lock”法术一般。这本书在被找到时，包含了以下法术：“秘法锁Arcane Lock”“解除魔法Dispel Magic”“法术无效结界Globe of Invulnerability”“守卫刻文Glyph of Warding”“魔邓肯私人密室Mordenkainen’s Private Sanctum”“防护善恶Protection from Evil and Good”“魔法徽记Symbol”。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防护学派的法术。当你施展一道防护系法术时，你可以消耗1发充能，给予距离你30尺内且你可见的一个生物2d10临时生命值。</t>
  </si>
  <si>
    <t>比拉罗的铁索</t>
  </si>
  <si>
    <t>这个锈迹斑斑的铁球重1磅，直径3寸。用它发动攻击时，球在空中飞行时会张开成为一张铁网。如果你决定释放被捕网束缚的目标，或是攻击检定没能命中，那么铁网将重新变回铁球。生物为挣脱捕网，或协助他人解脱捕网时，与你进行力量检定若检定失败，则该生物在接下来24小时中再次尝试破网时总会直接失败。</t>
  </si>
  <si>
    <t>百眼法袍</t>
  </si>
  <si>
    <t>这件长袍上绘满了眼睛的图案。着装这件长袍时，你获得以下增益：·你可以看到所有的方向，并且你在依赖视觉进行的感知（察觉）检定具有优势。·你获得120尺黑暗视觉。·在120尺的范围内，你可以看到隐形的生物、物件以及以太位面的事物。·长袍上的眼睛图案无法闭合或是转移视线。即使你闭上你自己的眼睛或移开视线，法袍依然会让你看到四周，如同你并未闭上眼睛或移开视线一般。·对法袍施展“光亮术light”或在你周围5尺内施展“昼明术daylight”将使你目盲1分钟。在你的每回合结束时，你可以进行一次体质豁免（对光亮术时DC为11，对昼明术时DC为15），成功则终止你身上的相应效应。</t>
  </si>
  <si>
    <t>星卜编集</t>
  </si>
  <si>
    <t>这个以铜圆盘为铰接件的同心环能够展开为一只浑天仪。以一个附赠动作，你可以将其展开为浑天仪或使其收回成一个圆盘。这本书在被找到时，包含了以下法术，且在你与其同调后对你视为法师法术：“卜筮术Augury”“预言术Divination”“寻路术Find the Path”“预警术Foresight”“生物定位术Locate Creature”“物件定位术Locate Object”。你可以将其作为法术书，法术被编刻在其圆环上。你可以将其作为你法师法术的法器。编集具有3发充能，且每天黎明时恢复1d3发已消耗的充能。可以通过以下方式消耗充能：如果你花费1分钟时间研究此编集，你可以消耗1发充能来将你的一道已准备法术替换为编集中的另一道法术。新法术必须是预言学派的法术。当一个30内你可见的生物进行一次攻击检定、属性检定或豁免检定时，你可以使用你的反应并消耗1发充能使那个生物骰一个d4并将其数值作为原掷骰的加值或减值（由你选择）。你可以在看见掷骰结束，但在宣布结果之前使用该反应。</t>
  </si>
  <si>
    <t>猎人之衣</t>
  </si>
  <si>
    <t>这身镶钉皮甲共有3发充能，并将于每天黎明时恢复1d3发充能。当你攻击并击中一个失去了任何量生命值的目标时，你可以消耗一发充能，并对该目标额外造成1d10的暗蚀伤害。</t>
  </si>
  <si>
    <t>魅惑法杖</t>
  </si>
  <si>
    <t>法杖有10发充能。持握法杖时，你可以用一个动作并消耗1发充能施展“魅惑人类Charm Person”“命令术Command”“通晓语言Comprehend Language”。魅惑法杖也可以用作一把魔法长棍。持握法杖时，如果你对一个仅以你为目标的附魔法术豁免失败，则你可以将这次失败变为成功。此后该属性直到次日黎明前都无法再次启动。如果你在对一个仅以你为目标的附魔法术豁免成功（无论是否受益于法杖属性），则你可以用反应并消耗1发充能将该法术反射回原施法者，而你则视为该反射法术的施法者。法杖每天黎明时恢复1d8+2发已消耗的充能。当充能耗尽时，骰一次d20。若骰值为1，则法杖将变为一把无魔法的长棍。</t>
  </si>
  <si>
    <t>幻惑镶钉皮甲</t>
  </si>
  <si>
    <t>着装该护甲时，你的AC获得+1加值。你可以用一个附赠动作说出该护甲的命令语，使护甲的外观幻化为任何普通衣物或其他种类护甲。护甲的颜色，样式和配件都由你自己决定，但它的体积和重量不会改变。幻化外观的效应持续到你脱掉此护甲或再次改变护甲外观。</t>
  </si>
  <si>
    <t>巨人之力腰带（山丘巨人）</t>
  </si>
  <si>
    <t>巨人之力腰带共有六种，价格各有不同，分别对应六种巨人。提供不同的力量值和力量属性上限。山丘巨人：力量+2，不能超过24。</t>
  </si>
  <si>
    <t>巨人之力腰带（石巨人）</t>
  </si>
  <si>
    <t>巨人之力腰带共有六种，价格各有不同，分别对应六种巨人。提供不同的力量值和力量属性上限。石巨人：力量+2，不能超过24。</t>
  </si>
  <si>
    <t>龙皮腰带+2</t>
  </si>
  <si>
    <t>贤者印记（恐惧术、脆弱诅咒）</t>
  </si>
  <si>
    <t>这枚刻有精美浮雕的镀金戒指充满了敏锐的智慧和远见的力量。着装此戒指期间，你可以用一个动作用戒指施放“卜筮术augury”。此法术一经戒指施放，直到下次黎明前不能再次以此法施放该法术。
贤者印记有六种款式，每种都刻着不同的图章。着装此戒指期间，你可以通过戒指额外施放如下表所示的法术，以智力作为你的施法属性。每个法术一经戒指施放，直到下次黎明前不能再次以此法施放该法术。</t>
  </si>
  <si>
    <t>丛林法杖</t>
  </si>
  <si>
    <t>该法杖可以用作一把魔法长棍被持用，你用它发动的攻击检定和伤害掷骰获得+2加值。持握它时，你在发动的法术攻击检定获得+2加值。丛林法杖有10发充能，且每天黎明时恢复1d6+4发已消耗的充能。当充能耗尽时，骰一次d20。如果结果为1，法杖将变为一把无魔法的长棍。法术Spells。你可以用一个动作消耗1发或更多充能从法杖施展以下法术之一：化兽为友animal friendship（1充能）、动物交谈术speak with animals（1充能）、树肤术barkskin（2充能）、动植物定位术locate animals or plants（2充能）、植物交谈术speak with plants（3充能）、启蒙术awaken（5充能）、荆棘之墙wall of thorns（6充能）。你也可以用一个动作从法杖施展行踪无迹pass without trace而无需消耗充能。树形态Tree Form。你可以用一个动作并消耗1发充能把法杖的一端插入肥沃的土地，将它变为一颗健壮的树。树高60尺、树干直径5尺、树冠半径20尺。这棵树看起来和普通的树没有区别，但在侦测魔法detect magic的效应下会放出微弱的变化系灵光。你可以在接触树时用一个动作说出命令语，将它变回法杖形态。树变回法杖时，树上的生物都将掉下来。</t>
  </si>
  <si>
    <t>屠龙者</t>
  </si>
  <si>
    <t>你用该魔法武器发动的攻击检定和伤害掷骰获得+1加值。你以该武器命中龙类时，它将受到与剑的伤害类型相同的额外3d6伤害。此处的“龙”指任何生物类型为龙类的生物，包括龙龟dragon turtle和飞龙wyvern等。在《提亚马特的崛起》《龙后之影》模组中，屠龙者的价格提高为9000gp。</t>
  </si>
  <si>
    <t>巨人屠杀者</t>
  </si>
  <si>
    <t>你用此魔法武器发动的攻击检定和伤害掷骰获得+1加值。当你以此武器命中巨人giant时，它将额外受与武器伤害类型相同的2d6点伤害，并且必须成功通过一次DC 15的力量豁免否则应击倒地。此处的“巨人”指任何生物类型为巨人的生物，包括双头巨人ettin和巨魔troll等。在《风暴君王之雷霆》模组中，巨人屠杀者的价格提高为9000gp。</t>
  </si>
  <si>
    <t>瓦解之锤</t>
  </si>
  <si>
    <t>当你用这把魔法武器命中一名邪魔或不死生物时，该目标将额外受2d6点光耀伤害。受此伤害后该生物的生命如果小于等于25，则它必须成功通过一次DC 15的感知豁免否则被摧毁。如果豁免成功，则直到你的下一回合结束，该生物对你恐慌。你握持此武器时，它将向20尺范围散发出明亮光照以及其外20尺的微光光照。在《施特拉德的诅咒》《博德之门·坠入阿佛纳斯》模组中，瓦解之锤的价格提高为9000gp。</t>
  </si>
  <si>
    <t>打击之锤</t>
  </si>
  <si>
    <t>你在用此魔法武器发动的攻击检定和伤害掷骰获得+1加值。如果你使用此武器攻击构装体，则加值变为+3。当你使用这把武器攻击并投出20时，目标将额外受7点钝击伤害。如果目标是构装体，则额外伤害为14。如果受到此伤害后该构装体的生命值小于等于25，则目标被摧毁。</t>
  </si>
  <si>
    <t>霜铭</t>
  </si>
  <si>
    <t>当你用此魔法剑命中目标时，目标将受额外1d6点冷冻伤害。另外，握持此剑时你对火焰伤害具有抗性。在严寒环境中，此剑的剑刃会发光，为周围10尺范围提供明亮光照，以及其外10尺的微光光照。拔出此剑时，你可以选择让周围30尺内的所有非魔法火焰熄灭。该属性可以每小时使用一次。</t>
  </si>
  <si>
    <t>锐锋之剑</t>
  </si>
  <si>
    <t>用这把魔法剑命中物件时，武器的伤害掷骰将直接取满。用这把武器攻击生物并投出20时，该目标额外受14点挥砍伤害。并再骰一次d20，如果结果依然为20，则你可以切掉目标一条肢体。对于没有肢体的生物，你可以切掉它躯体的一部分。由DM判断这种损伤的效应。另外，你可以说出剑的命令语使剑身放出亮光，提供10尺的明亮光照和额外10尺的微光光照。要熄灭亮光时，你可以再次说出命令语或是收起武器。</t>
  </si>
  <si>
    <t>警戒之盾</t>
  </si>
  <si>
    <t>持握此盾牌时，你所进行的先攻检定和感知（察觉）检定具有优势。这面盾牌上绘制一个眼睛的图案。</t>
  </si>
  <si>
    <t>撞击盾</t>
  </si>
  <si>
    <t>持握此铁制塔盾时，你在盾牌本身的AC加值基础上获得ac+1。盾牌共有3发充能，并将于每天黎明时恢复1d3发充能。持握此盾牌并尝试用它推撞一个处于你5尺外的生物时，你可以消耗1发充能使那名生物被额外推开十尺或/并倒地。</t>
  </si>
  <si>
    <t>龙鳞甲</t>
  </si>
  <si>
    <t>龙鳞甲是以某一种龙的鳞片制成的护甲。有时候是龙把自己褪下的鳞片送给类人生物，有时候则是猎人们小心的剥下死去龙类的鳞片并仔细保存起来。无论如何，龙鳞甲都是非常珍贵的物品。着装该护甲时，你的AC获得+1加值，且为对抗“骇人威仪Frightful Presence”和龙的吐息武器时所作豁免具有优势。根据龙鳞甲使用的龙鳞种类，你还会获得对一种伤害类型的抗性，该伤害类型与龙的吐息武器伤害类型相同。另外，你还可以用一个动作集中精神感知距你最近，且与龙鳞甲的鳞片提供者类型相同的龙类，并得知其相对于你的方向与距离。这条龙必须在你周边30里以内且与你处于同一位面。此后直到次日黎明前，该特殊动作都无法再次使用。</t>
  </si>
  <si>
    <t>食人魔力量护手</t>
  </si>
  <si>
    <t>着装该护手时，你的力量值+2，不能超过24。</t>
  </si>
  <si>
    <t>闪现犬敏捷胫甲</t>
  </si>
  <si>
    <t>着装该胫甲时，你的敏捷值+2，不能超过24。</t>
  </si>
  <si>
    <t>树人体质护符</t>
  </si>
  <si>
    <t>着装该护符时，你的体质值+2，不能超过24。</t>
  </si>
  <si>
    <t>眼魔智力头带</t>
  </si>
  <si>
    <t>着装该头带时，你的智力值+2，不能超过24。</t>
  </si>
  <si>
    <t>羽蛇感知斗篷</t>
  </si>
  <si>
    <t>着装该斗篷时，你的感知值+2，不能超过24。</t>
  </si>
  <si>
    <t>心灵遥控戒指</t>
  </si>
  <si>
    <t>着装这枚戒指时，你可以随意施展“心灵遥控Telekinesis”，但只能以未被着装或携带的物件为目标。</t>
  </si>
  <si>
    <t>移位斗篷</t>
  </si>
  <si>
    <t>着装此斗篷后，它将投射出你的幻影，使你看起来像是站在一个和你实际位置稍有偏差的地方。任何生物对你发动攻击时都将承受劣势。你受到伤害时斗篷会暂时失效，直至你的下一回合开始恢复效应。当你陷入失能、束缚状态或因其他原因而无法行动时，斗篷的效应也随之被压制。</t>
  </si>
  <si>
    <t>西风马蹄铁</t>
  </si>
  <si>
    <t>这些马蹄铁四个为一套。当一匹马或类似的生物同时着装四个马蹄铁时，它将悬浮在离地面4寸的高度，并如同在平地上一样移动。这使得该生物可以穿过或站在非固体或非稳定的平面上，例如水或岩浆。它无视困难地形并且不会留下足迹。另外，它也可以以正常速度连续移动12小时而不会因为强行军dorced march而疲乏。队伍中有半人马或类似身体结构的玩家时，西风马蹄铁的价格提高为6000gp。</t>
  </si>
  <si>
    <t>城堡之裂界珠</t>
  </si>
  <si>
    <t>这颗弹珠大小的水晶球散发着跨次元能量的光芒。作为同调该物品的一部分，你将水晶球按压到你选择的魔法近战武器的刀柄上，将水晶球魔法性地固定在武器上。该武器成为攻击检定和伤害掷骰有+1加值的魔法武器。如果该武器原本已经在攻击检定和伤害掷骰上有至少+1加值，效果不叠加。持握此武器期间，你可以获得以下好处：次元稳固Dimensional Anchor。你在对抗将你非自愿传送到异次元空间、半位面或另一个存在位面的法术或效应的豁免检定时具有优势。隔离斩Isolating Smite。当你用此武器命中一个生物时，你可以迫使该生物进行一次DC16的智力豁免。若豁免失败，该生物将被放逐到一个无害的半位面直到其下一回合结束。当被放逐的生物返回时，其重新出现在被放逐前的空间。如果该空间被占据，则它将出现在最近的未被占据空间。此项属性一经使用，直到下次黎明前不能再次使用。当你结束对球体的同调时，球体会无害地与武器分离，而武器则恢复为原状。</t>
  </si>
  <si>
    <t>从天而降</t>
  </si>
  <si>
    <t>吸收刺青</t>
  </si>
  <si>
    <t>该魔法刺青用一根特殊的针制作，且其图案特别突出了一种颜色。刺青同调。同调此物品时，你需要将针持握，并抵在你想要让刺 青出现 的那处皮肤上。当同调完成时，针头会化为墨水再变成刺青。若你与刺青的同调结束，刺青会消失，针头会再次出现在你的位置中。伤害抗性。当刺青在你的皮肤上时，你拥有与刺青颜色相联系的一种伤害抗性，如下方表格所示。DM可以自己选择或随机决定刺青颜色。伤害吸收。当你受到与刺青所选伤害种类一致的伤害时，你可以用你的反应获得对该次伤害的免疫，而后你回复等同于你原先要受到伤害数值一半的生命值。使用后，直到下次黎明前，这个反应不能再次使用。</t>
  </si>
  <si>
    <t>异能塑像（红玉髓三角龙）</t>
  </si>
  <si>
    <t>符铸战锤</t>
  </si>
  <si>
    <t>这把魔法锤具有3发充能。以一个附赠动作，你可以消耗1发充能并用这把锤子敲击地面。此举将在敲击位置的地面上创造出一片15尺半径的发光符文法阵。在你处于这片区域期间，你的锤子会散发出相同的符文光芒，并使你用这把锤子发动的攻击检定与其伤害掷骰具有+3加值。符文法阵会在创造的1分钟后消失，若你创造另一个符文法阵、或主动以附赠动作消解它，这个符文法阵就会提前消失。这把锤子在每日黎明时分恢复1d3发已被消耗的充能数。</t>
  </si>
  <si>
    <t>以太化之油</t>
  </si>
  <si>
    <t>这种浑浊的灰色油膏在容器外会变成珠状并迅速蒸发。一瓶油膏可以涂抹一个中型或更小体型的生物及其着装和携带的装备上。生物的体型每比中型大一级就需要多使用一瓶。使用以太化之油耗时10分钟，此后受油膏影响的生物将获得法术“以太化Etheralness”的效应，并持续1小时。</t>
  </si>
  <si>
    <t>强化反侦护符</t>
  </si>
  <si>
    <t>自由行动戒指</t>
  </si>
  <si>
    <t>着装这枚戒指时，你通过困难地形时无需消耗额外的移动力。另外，魔法无法降低你的速度，也无法令你陷入麻痹或束缚状态。</t>
  </si>
  <si>
    <t>郎中披肩</t>
  </si>
  <si>
    <t>这件披肩闻起来有一股淡淡的硫磺味。着装该披肩后，你可以用一个动作施展法术“任意门Dimension Door”。使用该属性后直至次日黎明前都无法再次以该方式使用该物品。以此消失时，你将在原本的位置留下一团烟雾，之后你伴随着一团类似的烟雾出现在目的地。烟雾会在你离开和到达的位置造成轻度遮蔽，并在下一个你的回合结束时消散。一阵微风或更强的风势可以将这种烟雾吹散。</t>
  </si>
  <si>
    <t>触须权杖</t>
  </si>
  <si>
    <t>这把卓尔制造的权杖，末端是三条有弹性的触手，触手视为魔法武器。持握权杖时，你可以用一个动作令三条触手各对15尺内的一个目标发动一次攻击。触手的近战攻击加值为+9，命中时造成1d6点钝击伤害。如果三条触手都命中了同一个目标，则目标必须进行一次DC 15的体质豁免，豁免失败则速度减半，其敏捷豁免将承受劣势，且在1分钟内陷入恍惚。目标在自己的每个回合结束时可以重新尝试豁免，成功则终止其相应的效应。</t>
  </si>
  <si>
    <t>寰宇图纂</t>
  </si>
  <si>
    <t>这本厚重的书被包在暗色的皮革中，皮革上纹有描绘了一张地图或海图的交错银线。这本书在被找到时，包含了以下法术，且在你与其同调后对你视为法师法术：“秘法门Arcane Gate”“任意门Dimension Door”“异界之门Gate”“迷踪步Misty Step”“异界传送Plane Shift”“传送法阵Teleportation Circle” “回返真言Word of Recall”。你可以将其作为法术书。你可以将其作为你法师法术的法器。该书具有3发充能，且每天黎明时恢复1d3发已消耗的充能。可以通过以下方式消耗充能：如果你花费1分钟时间研究这本书，你可以消耗1发充能来将你的一道已准备法术替换为书中的另一道法术。新法术必须是咒法学派的法术。当你被一次攻击命中时，你可以使用你的反应并消耗1发充能，传送到10尺内一个你能看见且未被占据的位置。若你的新位置在攻击的攻击距离以外，那么此次攻击失手。</t>
  </si>
  <si>
    <t>念珠项链（异界盟友）</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</si>
  <si>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珠子类型：召唤；法术：异界盟友</t>
  </si>
  <si>
    <t>荧光符文颜料（山脉符文）</t>
  </si>
  <si>
    <t>这组1d4+2个小罐中装着用粉碎荧光宝石制成的颜料。这种魔法颜料被用于在生物的皮肤上绘制符文，而受绘生物也将被赠予一种临时性的魔法馈赠。一小罐颜料包含了足够绘制出一个符文的颜料。一个生物可以花费10分钟时间来在自己身上或其他人身上绘制出以下符文之一：山脉符文Moutain Rune。受绘生物将免疫于被击入 倒地Prone 状态，并在力量与体质豁免上具有优势。每罐3500gp。每个生物只能同时受益于一个绘制符文。除非老的符文被移除，否则一个新的符文被绘制到了生物身上后将不会有任何效果。符文的增益将持续存在8小时，若受绘生物用它的动作擦除符文，符文的增益将提前消失。</t>
  </si>
  <si>
    <t>荆棘旋刃</t>
  </si>
  <si>
    <t>荆棘旋刃是用藤条与毒刺制成的特殊飞轮，被此武器命中的目标被命中生物必须进行一次DC14的体质豁免，豁免失败则受1d8的毒素伤害并陷入中毒，豁免成功则伤害减半且不会中毒。该中毒生物每个自己的回合结束时须再进行一次该豁免，每次豁免失败都将受1d8的毒素伤害，豁免成功则该效应终止。</t>
  </si>
  <si>
    <t>吸矢盾</t>
  </si>
  <si>
    <t>持用此盾牌时，你对抗远程攻击的AC额外获得+2加值。此外，当攻击者对你身边5尺内的目标发动远程攻击时，你可以使用反应以替代该目标成为这次攻击的目标。</t>
  </si>
  <si>
    <t>智颅</t>
  </si>
  <si>
    <t>这个颅骨形状的装置蕴含着丰富的知识。该装置重5磅，表面复盖着位面印记的精细蚀刻。以一个附赠动作，你可以将该装置抛向空中，它将在距离你1d3尺的地方飘浮，此时你可以受益于它的特性。当智颅飘浮时，除你之外的其他生物可以以一个动作，通过进行一次对抗AC22的徒手打击或一次DC 22的敏捷（体操）检定，在成功时抓住或网住该装置。你可以以一个附赠动作来抓住并收起它。该装置AC22，HP 25，具有毒素与心灵伤害免疫，以及其他所有伤害的抗性。当它在你周围飘浮时，其视为被你着装。秘传学识 Esoteric Knowledge。当该装置飘浮时，你可以以一个动作通过它施放“通晓传奇legend lore”。该装置会大声说出所对应的传闻。该特性使用后，直到次日黎明前不能被再次使用。位面学识 Planar Knowledge。该装置了解关于存在位面的实用基本信息。当该装置飘浮时，它会口头回答你或你指定的任何人就该主题向其提出的问题。它掌握了《城主指南》中关于位面的信息，以及关于外域门城gate-town的基本信息。</t>
  </si>
  <si>
    <t>蝙蝠斗篷</t>
  </si>
  <si>
    <t>着装此斗篷后，你的敏捷（隐匿）检定具有优势。在微光光照或黑暗环境中，你可以用双手抓住斗篷边沿，利用它以40尺的速度飞行。如果你没能抓住斗篷边沿或不再处于微光光照或黑暗环境中，则你失去此飞行速度。着装此斗篷且身处微光光照或黑暗环境时，你可以用一个动作对自己施展出法术“变形术Polymorph”，并以此变成一只蝙蝠bat。你在变成蝙蝠时保留自身的智力、感知属性。直到次日黎明前，斗篷都无法再以该方式使用。</t>
  </si>
  <si>
    <t>真视宝石</t>
  </si>
  <si>
    <t>这块宝石有3发充能。你可以用一个动作说出宝石的命令语并消耗1发充能。接下来的10分钟内，你在透过宝石观察周围时具有120尺的真实视觉。该宝石在每天黎明时恢复1d3发充能。</t>
  </si>
  <si>
    <t>纸牌屋</t>
  </si>
  <si>
    <t>该副卡牌装饰有带着保护性图案的几何图形。持握该牌组期间，你可以用一个动作洗牌并让卡牌自己分开然后变成一个由卡牌建成的庇护所。该庇护所可以按照你的意愿改变形状，但其必须能容纳在一处以离你30尺内一点为中心的40尺立方空间内。该庇护所拥有一扇门和至多四扇窗户，且只有你可以开关它们。它拥有一层地板与一个屋顶，并且内部保持舒适温度。该庇护所AC为15，拥有50点生命值，且免疫毒素与心灵伤害。该庇护所持续24小时，直到你以一个动作解散它或者它的生命值被降至0为止。当该庇护所的持续时间结束时，它将变回一副卡牌并重新出现在你手中。一旦该牌组变成过庇护所后，直到第二天黎明之前你无法再次使用该牌组。</t>
  </si>
  <si>
    <t>元素精粹碎晶（火）</t>
  </si>
  <si>
    <t>这块碎裂的水晶含有着一个元素位面的精粹。作为一个动作，你可以将碎晶附上一件微型物件（如一把武器或一块珠宝）或摘下。当同调结束时它会掉落下来。当你持握或穿戴碎晶时，你可以将其作为法器使用。
根据元素精粹碎晶表格来决定碎晶的精粹类型和属性。当你持握或穿戴碎晶，并在一道法术上添加一种超魔效果，消耗了至少1点术法点时，你可以应用该属性。
火：你可见的一个法术目标立即着火。被燃烧的目标在其下个回合开始时受到2d10火焰伤害，之后火焰消失。</t>
  </si>
  <si>
    <t>铭记药水（7环）</t>
  </si>
  <si>
    <t>灵马哨笛（猛犸象）</t>
  </si>
  <si>
    <t>水晶刀锋</t>
  </si>
  <si>
    <t>这把剑的剑刃由一只水晶龙的角或者脊骨制成。当你用这把剑进行的攻击检定命中时，目标受到额外1d8光耀伤害。这把剑有3发充能，并在每日黎明时恢复1d3发充能。当你用这把剑击中一个生物时，你可以消耗1发充能恢复自己等同于这次攻击造成的额外光耀伤害数值的生命值，无论这些额外光耀伤害是否来自水晶刀锋的特性。当你握着这把剑的时候，你可以用一个附赠动作使其发出 30尺明亮光照和30尺微弱光照，发出10尺微弱光照，或者熄灭光照。</t>
  </si>
  <si>
    <t>谜题急智戒指</t>
  </si>
  <si>
    <t>这枚镶有萤石的金戒指可以使佩戴者的思维更加敏锐。戒指有3发充能，每日黎明时恢复1d4-1发已消耗充能。当你进行一次智力检定时，你可以消耗1发充能使你在这次检定中获得优势。</t>
  </si>
  <si>
    <t>念珠项链（高等复原术）</t>
  </si>
  <si>
    <t>这条项链上挂着蓝晶aquamarine、黑珍珠black pearl以及黄玉topaz制成的1d4+2颗魔法珠子。另外也有许多非魔法的珠子挂在项链上，例如琥珀amber、血石bloodstone、黄水晶citrine、珊瑚coral、翡翠jade、珍珠pearl和石英quartz。如果从项链上把魔法珠摘下，则相应的枚珠子将失去魔力。
项链上共有六种魔法珠子。随机或由DM决定一条项链上每颗珠子的类型，同类型的珠子可能出现在一条项链上。要使用珠子，你必须佩带此项链。
每枚珠子保存着一个法术。使用一枚珠子中的法术将作为一项附赠动作。一旦你使用了某枚珠子中的法术，则相应珠子的法术直到次日黎明前都无法再次使用。
一串项链的总价格，是1d4+2颗随机念珠单价的总和。
珠子类型：恩赐；法术：高等复原术</t>
  </si>
  <si>
    <t>爆鸣专论</t>
  </si>
  <si>
    <t>这本书被烧焦的厚实法术书散发着烟雾和臭氧的气味，书页的边缘闪烁着能量的火花。这本书在被找到时，包含了以下法术：“触发术Contingency”“火球术Fireball”“造风术Gust of Wind”“李欧蒙小屋Leomund’s Tiny Hut”“魔法飞弹Magic Missile”“雷鸣波Thunderwave”“力场墙Wall of Force”。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塑能学派的法术。当一个你可见的生物被你所施展的塑能系法术伤害时，你可以用一个反应并消耗1发充能对该生物造成一次额外的2d6力场伤害，如果该生物为大型或更小，还会使其倒地。</t>
  </si>
  <si>
    <t>强化精灵斗篷</t>
  </si>
  <si>
    <t>麻痹魔杖</t>
  </si>
  <si>
    <t>这把魔杖有7发充能。持握此魔杖时，你可以用一个动作并消耗1发充能从魔杖尖端向60尺内一名你能看到的生物射出一道纤细的蓝色光线。目标必须成功通过一次DC 15的体质豁免否则麻痹1分钟。目标可以在它的每回合结束时再次尝试豁免，成功则不再麻痹。魔杖每天黎明时恢复1d6+1发已消耗的充能。当充能耗尽时，骰一次d20。如果骰值为1，魔杖将化为灰烬而毁灭。</t>
  </si>
  <si>
    <t>超魔权杖（法术延时）</t>
  </si>
  <si>
    <t>每种超魔权杖对应着一种超魔专长，只有拥有该专长的角色才能与之同调。超魔权杖具有3发充能，在每天黎明时恢复所有充能。你可以在为一个法术添加对应的超魔法选项时，消耗1发充能，免除术法点消耗。</t>
  </si>
  <si>
    <t>超魔权杖（法术稳固）</t>
  </si>
  <si>
    <t>超魔权杖（法术追踪）</t>
  </si>
  <si>
    <t>超魔权杖（远程法术）</t>
  </si>
  <si>
    <t>标准水晶球</t>
  </si>
  <si>
    <t>标准的水晶球通常直径6寸，接触水晶球时，你可以用它施展出法术“探知Scrying”（豁免DC17）。</t>
  </si>
  <si>
    <t>元素精粹碎晶（水）</t>
  </si>
  <si>
    <t>这块碎裂的水晶含有着一个元素位面的精粹。作为一个动作，你可以将碎晶附上一件微型物件（如一把武器或一块珠宝）或摘下。当同调结束时它会掉落下来。当你持握或穿戴碎晶时，你可以将其作为法器使用。
根据元素精粹碎晶表格来决定碎晶的精粹类型和属性。当你持握或穿戴碎晶，并在一道法术上添加一种超魔效果，消耗了至少1点术法点时，你可以应用该属性。
水：你以你为源点爆发出一阵10尺半径的水流。区域内每个你所选择的可见目标受到2d6寒冷伤害并进行一次力量豁免对抗你的法术豁免DC，豁免失败者被你推离10尺并倒地。</t>
  </si>
  <si>
    <t>增强武器+2</t>
  </si>
  <si>
    <t>屏障刺青（18）</t>
  </si>
  <si>
    <t>该魔法刺青用一根特殊的针制作，用液态金属般的墨水绘有代表防护的图案。
刺青同调。 同调此物品时，你需要将针持握，并抵在你想要让刺青出现的那处皮肤上。当同调完成时，针头会化为墨水再变成刺青。若你与刺青的同调结束，刺青会消失，针头会再次出现在你的位置中。
防护。当你没有穿戴盔甲的时候，刺青会给予你下方列出的由刺青的珍稀度决定的护甲等级。基础AC：18</t>
  </si>
  <si>
    <t>异能塑像（碧玉霸王龙）</t>
  </si>
  <si>
    <t>艾恩石（吸收）</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</si>
  <si>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颜色：淡紫
类型：吸收
效果：你可以用你的反应使一个法术无效，该法术必须由你能看到的生物所施展，只以你为目标且不超过4环。吸收合计20环的法术后，此艾恩石将耗尽力量，并失去其魔法而变为暗灰色。如果一个法术的环阶超出该艾恩石剩余的吸收环数，则石头无法将其吸收。</t>
  </si>
  <si>
    <t>神功绑带+2</t>
  </si>
  <si>
    <t>修道院护符+2</t>
  </si>
  <si>
    <t>天生武器护符+2</t>
  </si>
  <si>
    <t>贤者印记（魅惑人类、催眠图纹）</t>
  </si>
  <si>
    <t>建筑里拉琴</t>
  </si>
  <si>
    <t>当持握这把里拉琴时，你可以用一个动作施展“修复术Mending”。当一个距离你300尺内的物件或建筑受到伤害时，你也可以用一个反应弹奏这把里拉琴，使其免疫该此次伤害以及其他同类型伤害，直到你的下个回合开始。此外，你可以用一个动作弹奏这把里拉琴，施展“鬼斧神工Fabricate”“地动术Move Earth”“化岩术Transmute Rock”“构装体召唤术Summon Construct”，直到下次黎明前，该法术不能再以此法施展。</t>
  </si>
  <si>
    <t>恐惧魔杖</t>
  </si>
  <si>
    <t>该魔杖有7发充能，且每天黎明时恢复1d6+1发已消耗的充能。当充能耗尽时，骰一次d20。如果骰值为1，魔杖将化为灰烬而毁灭。命令Command。持握此魔杖时，你可以用一个动作并消耗1发充能以命令一名生物逃跑或趴下（如同命令术command，豁免DC 15）。恐惧锥域Cone of Fear。持握此魔杖时，你可以用一个动作并消耗2发充能，令魔杖尖端发出60尺锥状的橙光。锥状区域内的每名生物必须成功通过一次DC 15的感知豁免否则对你恐慌1分钟。因此效应恐慌的生物每轮必须以其移动力尽可能远离你且无法自愿进入你周围30尺范围内。使用自己的动作时，它只能执行疾走Dash动作或是尝试逃离某种阻止它移动的效应。它无法执行反应。如果无处可逃，则它会执行闪避Dodge动作。受此效应影响的生物在其每轮结束时可以再次尝试豁免，成功则终止自己身上的相关效应。</t>
  </si>
  <si>
    <t>焰舌</t>
  </si>
  <si>
    <t>你可以用一个附赠动作说出命令语，以让这把剑的锋刃吐出烈焰。剑身的火焰为周围40尺范围提供明亮光照，以及额外40尺的微光光照。剑身燃烧时将对其命中的目标造成额外2d6点火焰伤害。火焰将持续燃烧到你把剑放下、收入鞘内或再次用一个附赠动作说出命令语为止。</t>
  </si>
  <si>
    <t>恶意利爪</t>
  </si>
  <si>
    <t>你使用这把弯曲的黑曜石匕首进行的攻击检定和伤害掷骰获得+1加值。当你用这把魔法武器命中一个生物并在攻击检定上投出19或20时，匕首会闪烁出令人作呕的光芒，迫使该生物进行一次DC15的体质豁免检定，若豁免失败，该生物会受到6d6点黯蚀伤害，豁免成功只受一半伤害。如果此伤害使该生物的生命值降至0，该生物就会被解离为一堆灰尘。</t>
  </si>
  <si>
    <t>法术反转戒指</t>
  </si>
  <si>
    <t>着装这枚戒指时，你在对任何仅以你为目标（而非影响你所在区域）的法术进行豁免时具有优势。另外，该法术为7环或更低环阶且你的豁免骰出20时，该法术对你无效且目标变为原施法者。使用原施法者的资料决定法术位环阶、豁免DC、攻击加值和施法关键属性属性。</t>
  </si>
  <si>
    <t>游鱼服</t>
  </si>
  <si>
    <t>这套笨重的套装将你的头部和身体完全包裹起来，穿脱它需要 1 分钟的时间。当你穿戴它时，它能在无空气的环境中呼吸，并免疫任何气体有害效应。这套服装还能让你在水下获得等于你步行速度的游泳速度，或者在无重力环境下获得等于你步行速度的飞行速度。</t>
  </si>
  <si>
    <t>拉克森灵魂信标</t>
  </si>
  <si>
    <t>这枚水晶12面体散发着微弱的光芒，实际重量比乍看上去要重上一些。它的侧面固定着几个手柄。在被触碰时，它将嗡嗡地震动起来。概率碎片。触碰拉克森灵魂信标并维持专注1分钟的生物可以获得一个概率碎片。它们看起来像是一小团灰色的能量球，跟随着你前进，始终与你保持1尺内的距离。碎片持续存在8小时，直到你使用它们。第二天黎明前，此特性无法再次使用。每当拥有概率碎片的生物进行攻击，属性或豁免检定时，他可以花费一个概率碎片来骰一个额外的d20，取代一枚原有的d20。他也可以在被攻击时花费一个概率碎片骰一个额外的d20，取代一枚原有的d20。灵魂圈套。如果拉克森的追随者在距离拉克森灵魂信标100里内死亡，且他生前曾被转生仪式祝福过，则他的灵魂将在灵魂信标100里内的类人婴儿体内转世。</t>
  </si>
  <si>
    <t>命令元素器皿</t>
  </si>
  <si>
    <t>在命令元素器皿装满了对应的能量载体时，你可以用一个动作说出器皿的命令语，召唤一个对应的元素，其效应相当于你施展出法术“召唤元素生物”。直到次日黎明前，器皿都无法再次以该方式使用。器皿重约5磅。</t>
  </si>
  <si>
    <t>警戒武器</t>
  </si>
  <si>
    <t>这把魔法武器能在危险时给你警告。持有此武器时，你进行先攻检定时具有优势。除非因非魔法睡眠以外的原因陷入失能，否则你和你周围30尺内的同伴不会被突袭。如果战斗开始时你或范围内你的同伴处于自然睡眠状态，则该武器的魔法也会将你们唤醒。</t>
  </si>
  <si>
    <t>复鳞饰物（激活）</t>
  </si>
  <si>
    <t>这个饰物可以是珠宝，斗篷或其他可穿戴的装饰品。它似乎是由龙的鳞片、牙齿或爪子塑造而成，或者是包含有这些形状的图像。 
沉睡。你在为避免陷入魅惑或恐惧，或者结束这些状态所做的的豁免检定中具有优势。
激活。你在AC上获得+1加值，并且你不会魅惑或恐惧。此外，你所选择的30尺内的每一个生物在为避免陷入魅惑或恐惧，或者结束这些状态所做的豁免检定中具有优势。</t>
  </si>
  <si>
    <t>遥远国度碎晶</t>
  </si>
  <si>
    <t>这块蠕动着的水晶充斥着来自遥远国度的扭曲精粹。作为一个动作，你可以将碎晶附上一件微型物件（如一把武器或一块珠宝）或摘下。当同调结束时它会掉落下来。当你持握或穿戴碎晶时，你可以将其作为法器使用。当你持握或穿戴碎晶，并在一道法术上添加一种超魔效果，消耗了至少1点术法点时，你可以召唤一条黏滑的触手撕裂现实的织物，并对你30尺内可见的一个生物进行打击。该生物必须进行一次感知豁免检定对抗你的法术豁免DC，豁免失败则受到3d6心灵伤害并对你恐慌，直到你的下个回合开始。</t>
  </si>
  <si>
    <t>铸阳锤</t>
  </si>
  <si>
    <t>你在用该魔法武器发动攻击检定和伤害掷骰时获得+2加值。你可以用一个动作将该武器掷出至多120尺，达到一个你可见的位置。到达该位置后，武器将在爆炸中消失，武器20尺半径内所有生物必须进行一次DC为15的敏捷豁免，豁免失败则受到6d6火焰伤害，豁免成功则伤害减半。此后，你可以用一个动作将武器召回你空着的手上。在你完成一次短休或长休后才能再次使铸阳锤爆炸。如果你未将武器召回到手上，它将在24小时或你不再与它同调时出现于爆炸时的位置。</t>
  </si>
  <si>
    <t>异界精粹碎晶（善良）</t>
  </si>
  <si>
    <t>这块闪烁着的水晶蕴含着一处外层位面的精粹。作为一个动作，你可以将碎晶附上一件微型物件（如一把武器或一块珠宝）或摘下。当同调结束时它会掉落下来。当你持握或穿戴碎晶时，你可以将其作为法器使用。
根据异界精粹碎晶晶表格来决定碎晶的精粹类型和属性。当你持握或穿戴碎晶，并在一道法术上添加一种超魔效果，消耗了至少1点术法点时，你可以应用该属性。
善良：你或一个你选择的一个距离你30尺内且你可见的生物获得3d6临时生命值。</t>
  </si>
  <si>
    <t>艾恩石（储法）</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</si>
  <si>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颜色：亮紫
类型：储法
效果：你可以向这个亮紫色棱晶艾恩石施展法术，随后该法术将被保存到你决定使用它们时。它同时只能储存共计不超过3环的法术。任何生物都可以在施展一个1环到3环的法术时触碰该艾恩石以将该法术储存在石头中。此时法术将被储存，而非直接产生效应。如果石头无法储存该法术，则它不生效且被消耗。被储存的法术以其所耗用的法术位环阶来决定其在石头中占用的空间。你可以施展任何储存在其中的法术。该法术使用原施法者的法术位、法术豁免DC、法术攻击加值和施法关键属性，但其他方面则视为由你施展。法术施展后，它将从艾恩石内消失，并清空其占用的空间。</t>
  </si>
  <si>
    <t>定身魔杖</t>
  </si>
  <si>
    <t>这把魔杖有7发充能，且每天黎明时恢复1d6+1发已消耗的充能。当充能耗尽时，骰一次d20。如果骰值为1，魔杖将化为灰烬而毁灭。法术Spells。持握此魔杖时，你可以用一个动作并消耗若干充能以施展下列法术之一（豁免DC 17）：人类定身术hold person（2充能）、怪物定身术hold monster（5充能）援助脱离Assisted Escape。持握此魔杖时，你可以用反应并消耗1发充能，使你在进行一次避免麻痹或束缚的豁免时获得优势。你也可以使用反应并消耗1发充能在一次脱离擒抱的检定中获得优势。</t>
  </si>
  <si>
    <t>流星戒指</t>
  </si>
  <si>
    <t>着装这枚戒指且在黑暗或微光光照环境下时，你可以随意施展“舞光术Dancing Light”和“光亮术Light”。戒指有6发充能，每天黎明时恢复1d6发已消耗的充能。妖火Faerie Fire。你可以消耗1发充能施展“妖火Faerie Fire”。球形闪电Ball Lightning。你可以用一个动作并消耗2发充能以创造一到四个3尺直径的闪电球。你创造的闪电球越多，单个闪电球的威力就越小。每个闪电球将会出现在你周围120尺内未被占据的空间。它们将在你专注（如同专注于法术）期间持续存在，但至多不能超过1分钟。每个闪电球都为其周围30尺提供微光光照。作为一个附赠动作，你可以将每个闪电球移动至多30尺，但不能离开你周围120尺范围。当闪电球和某个除你以外的生物间距离不足5尺时，它将向该生物释放闪电然后消失。该生物必须进行一次DC 15的敏捷豁免，失败则受到相应闪电伤害。单个闪电球的伤害如下表所示：流星Shooting Stars。你可以用一个动作并消耗1到3发充能。每1发充能将转化为一点光屑，从戒指中射出到60尺内你能看到的地点。光屑落点周围15尺范围内的每名生物都必须进行一次DC 15的敏捷豁免，豁免失败者将受到5d4点火焰伤害，豁免成功则伤害减半。</t>
  </si>
  <si>
    <t>速度之靴</t>
  </si>
  <si>
    <t>着装这双靴子时，你可以获得一个互击脚后跟的附赠动作项。执行该附赠动作后，你的移动速度将加倍，且任何生物对你发动借机攻击时都承受劣势。再次互击脚后跟将终止该效应。靴子的属性累计使用10分钟后，其魔法效应将随之消失直至你完成一次长休才能再次使用。</t>
  </si>
  <si>
    <t>飞翼之靴</t>
  </si>
  <si>
    <t>着装这双靴子时，你获得等同于你步行速度的飞行速度。你可以使用飞翼之靴连续或间断的飞行4小时，并以分钟为单位计算使用时间。如果你在飞行期间耗尽其使用时间，则你将以每轮30尺的速度下落，直到着陆。停止使用靴子达12小时将为它恢复2小时的使用时间。</t>
  </si>
  <si>
    <t>矮人腰带</t>
  </si>
  <si>
    <t>着装此腰带时，你获得以下增益：·你的体质值+2，不能超过24。·你进行与矮人互动的感知（游说）检定时具有优势。此外，如果你与此腰带同调且能够长出胡须，则在每天的黎明时分你有50%的概率长出一把大胡子；如果你已经长有胡须，则你的胡须会明显变得更厚。如果你不是一名矮人，你在穿戴此腰带时获得以下额外的增益：·你进行对抗中毒的豁免时具有优势，并获得对毒素伤害的抗性。·你获得60尺黑暗视觉。·你可以说、读、写矮人语。</t>
  </si>
  <si>
    <t>吟游诗人乐器（藤蔓曼陀林）</t>
  </si>
  <si>
    <t>阳炎剑</t>
  </si>
  <si>
    <t>这件物品看起来像是一把长剑的剑柄。持握剑柄时，你可以用一个附赠动作展开或是解消这把剑完全由光构成的剑刃。展开剑刃的阳炎剑是一把具有灵巧属性的魔法长剑。如果你拥有长剑或短剑的熟练项，则你也能熟练使用阳炎剑。你在使用阳炎剑发动的攻击检定和伤害掷骰获得+2加值，但它造成光耀伤害而非挥砍伤害。被这把剑命中的不死生物将额外受1d8点光耀伤害。阳炎剑剑刃放出的光视为阳光，并提供15尺明亮光照和额外15尺微光光照。剑刃展开时，你可以用一个动作使明亮与微光光照半径各扩大或缩小5尺。光照范围上限为明亮和微光区域各扩大30尺，下限为各缩小10尺。在《施特拉德的诅咒》《逃出深渊》模组中，阳炎剑的价格提高为13800gp。</t>
  </si>
  <si>
    <t>异界精粹碎晶（邪恶）</t>
  </si>
  <si>
    <t>这块闪烁着的水晶蕴含着一处外层位面的精粹。作为一个动作，你可以将碎晶附上一件微型物件（如一把武器或一块珠宝）或摘下。当同调结束时它会掉落下来。当你持握或穿戴碎晶时，你可以将其作为法器使用。
根据异界精粹碎晶晶表格来决定碎晶的精粹类型和属性。当你持握或穿戴碎晶，并在一道法术上添加一种超魔效果，消耗了至少1点术法点时，你可以应用该属性。
邪恶：选择一个受到此法术伤害的生物。目标受到额外3d6黯蚀伤害。</t>
  </si>
  <si>
    <t>濡湿小镰刀</t>
  </si>
  <si>
    <t>从幽邃伏爬而出的濡湿人形，其持有的短柄黑色镰刀。你使用濡湿小镰刀发动的攻击检定和伤害掷骰获得+1加值。每次使用濡湿小镰刀发动攻击之前，你可以移动5尺，不额外消耗移动力且不引发借机攻击。</t>
  </si>
  <si>
    <t>巨人之力药水（云巨人）</t>
  </si>
  <si>
    <t>巨人之力药水共有六种，价格各有不同，分别对应六种巨人。透明的药液中漂着一点对应类型巨人的指甲碎片。饮用后，提供不同的力量值和力量属性上限，持续1小时。云巨人：力量+6，不能超过28。</t>
  </si>
  <si>
    <t>巨人之力药水（风暴巨人）</t>
  </si>
  <si>
    <t>巨人之力药水共有六种，价格各有不同，分别对应六种巨人。透明的药液中漂着一点对应类型巨人的指甲碎片。饮用后，提供不同的力量值和力量属性上限，持续1小时。风暴巨人：力量+6，不能超过28。</t>
  </si>
  <si>
    <t>龙器（觉醒）</t>
  </si>
  <si>
    <t>这个容器可以是一个药水瓶，饮水角，或用来容纳液体的容器。 
沉睡。以一个附赠动作，如果容器是空的，你可以说出命令词来使麦芽酒、橄榄油、一剂治疗药水或一剂攀爬药水从盛满容器。一旦这项特性被使用，直到下一个黎明之前它不能被再次使用。你用这种方法制作的药水如果不在24小时内被饮用，就会失去它的魔法特性。
激活。除了沉睡状态的容器的选项以外，你还可以用蜜酒，一剂火焰吐息药水或一剂治疗药水（高等）盛满激活的容器。
觉醒。除了沉睡或激活状态的容器的选项以外，你还可以用葡萄酒，一剂飞行术药水或一剂治疗药水（强效）来装满觉醒的容器。</t>
  </si>
  <si>
    <t>灼日法杖</t>
  </si>
  <si>
    <t>日光石的纹理贯穿这根法杖。这根法杖可以用作一根魔法长棍，使用它发动的攻击检定和伤害掷骰获得+1加值。当你使用这根法杖进行的攻击命中时，目标会受到额外1d8点火焰伤害。聚日法器Solar Focus。你可以将法杖作为法器使用。持握着法杖期间，当你使用法术位施放造成火焰或光耀伤害的法术时，你可以重新投掷一定数量（至多为你的熟练加值）的伤害骰。你必须使用重骰的结果。此项属性一经使用，直到下次黎明前不能再次使用。晴辉Sunny Glow。以一个附赠动作，你可以使法杖发出日光。发光时，法杖会发散发出15尺明亮光照和额外15尺微光光照。该光照会一直持续到你使用另一个附赠动作将其熄灭为止。</t>
  </si>
  <si>
    <t>法术抗性斗篷</t>
  </si>
  <si>
    <t>穿着这件斗篷时，你对法术的豁免具有优势。</t>
  </si>
  <si>
    <t>吟游诗人乐器（聆听者七弦琴）</t>
  </si>
  <si>
    <t>龙怒武器（激活）</t>
  </si>
  <si>
    <t>这种武器装饰有龙头，爪子，翅膀，鳞片，或龙语文字。它进入巨龙宝库后会吸收龙的吐息武器的能量，并用它的特性造成这种类型的伤害。 
    沉睡。当你使用此武器进行攻击检定掷出20时，目标5英尺内每个你选择的生物都受到和龙的吐息武器相同类型的5伤害。
    激活。激活的武器具有沉睡状态的特性。此外，你使用该武器的攻击检定和伤害掷骰获得+1，每次攻击命中时该武器造成与龙息武器相同类型的额外1d6伤害。</t>
  </si>
  <si>
    <t>贤者印记（变巨／缩小术、变形术）</t>
  </si>
  <si>
    <t>贤者印记（行动自如、行动无踪）</t>
  </si>
  <si>
    <t>吉兆之刃</t>
  </si>
  <si>
    <t>你用该魔法武器发动的攻击检定和伤害掷骰获得+1加值。只要带着这把剑，你进行豁免时还获得+1加值。
幸运Luck。只要带着这把剑，它就会为你带来好运，使你可以重骰一次攻击检定、属性检定或豁免检定（无需动作）。而你必须接受重投后的结果。此后直到次日黎明前，该属性都无法再次启动。
许愿Wish。这把剑有1d4-1发充能。持握它时，你可以用一个动作并消耗一发充能施展祈愿术wish。此后直到次日黎明前，该属性都无法再次启动。充能耗尽后，吉兆之刃也将失去这项属性。
吉兆之刃的初始价格为5000gp。每有一发祈愿术，价格增加35000gp。</t>
  </si>
  <si>
    <t>矮人板甲</t>
  </si>
  <si>
    <t>着装该护甲时，你的AC获得+2加值。此外，当某种效应将要在违背你意愿的情况下使你在地面上移动时，你可以用一个反应来阻止这种强制位移。如果该强制位移是由一个生物发起的，那么它必须到它的下个回合才能再次尝试使你强制位移。</t>
  </si>
  <si>
    <t>辟毒护符</t>
  </si>
  <si>
    <t>这条精巧的银链上挂着一颗切割闪亮的黑宝石吊坠。着装它时，毒素无法影响你。你免疫中毒状态和毒素伤害。</t>
  </si>
  <si>
    <t>再生戒指</t>
  </si>
  <si>
    <t>着装这枚戒指时，只要你尚有至少1点生命值，你就能每10分钟恢复1d6的生命值。即使你失去了一部分肢体，只要你能在1d6+1日内保持至少有1点生命值，则失去的肢体也会重新长出并恢复功能。</t>
  </si>
  <si>
    <t>隐身戒指</t>
  </si>
  <si>
    <t>着装这枚戒指时，你可以用一个动作进入隐形。任何你着装或携带的东西也将随你隐形。你保持隐形直到做出威胁性举动，或是戒指被摘下。你也可以用一个附赠动作解除隐形。</t>
  </si>
  <si>
    <t>夜幕珍珠</t>
  </si>
  <si>
    <t>这个触感寒冷，直径6寸的深黑色球体可以召来夜晚。你可以花费10分钟激活它，一旦被激活，则周围半径十里的区域都将被夜幕笼罩，不论将其激活的时间点是白昼还是黑夜。黑夜将持续24小时，直到你与珍珠失去同调，或你使用一个动作终止此魔法效应。夜幕珍珠一旦被使用，则在接下来的24小时中无法被再次激活。</t>
  </si>
  <si>
    <t>海楼石镣铐</t>
  </si>
  <si>
    <t>海楼石镣铐可以自行调整适应各种体型的生物。除普通镣铐的作用之外，海楼石镣铐还会让穿戴它的生物处于禁魔状态。在该状态下，生物不能施法、不能使用非法术的魔法效应、不受持续性的魔法效应影响，但魔法诅咒仍能正常生效。其着装或携带的非神器的魔法物品也会失效，但诅咒物品的诅咒仍能正常生效。一副海楼石镣铐，不会压制另一副海楼石镣铐。与“反魔法力场”不同，禁魔状态并不提供针对外界魔法的保护能力。持续时间为立即的目标型魔法效应（例如“魔法飞弹”）、持续时间为立即的范围型魔法效应（例如“火球术”），都能正常对穿戴了海楼石镣铐的生物生效。</t>
  </si>
  <si>
    <t>飞天扫帚</t>
  </si>
  <si>
    <t>这把扫帚平时只是一把3磅重的普通木制扫帚。如果你骑在它上面并说出它的命令语，它就会悬浮在你身下且可以载着你在空中飞行。它的飞行速度固定为每轮50尺。虽然飞天扫帚最多可以搭载400磅的重物，但200磅以上的载重会将它的飞行速度降低到30尺。扫帚在你着陆之后便会停止悬浮。乘上和脱离扫帚，需要花费一半的移动力，如同上下坐骑。骑乘扫帚时，你需要至少使用一只手抓握扫帚，否则从上面跌落。你可以说出命令语并指明1里内一个你熟悉的地点，以此命令扫帚自行飞到该处。如果扫帚在你周围1里以内，则你可以用另一个命令语让它回到你身边。</t>
  </si>
  <si>
    <t>星轮</t>
  </si>
  <si>
    <t>当你与该组件同调时，你获得+1感知豁免，并且你可以使用一个动作释放戏法舞光术 Dancing Lights，神导术 Guidance，传讯术 Message。·星之预兆。当你视野内，处在你半径60尺内的一个生物进行攻击检定，豁免检定或属性检定时，你可以使用一个反应，投一个d10，并将结果与该生物鉴定的结果进行相加或相减。一旦你使用了星轮的这个能力，它在新一天前将无法被再次使用。·重力改变。你可以使用一个动作对你自身施放法术飞行术 Fly或正常释放浮空术 Levitate。一旦你使用了星轮的这个能力，它在新一天前将无法被再次使用。·六位一体。当这件组件未被安装进位面游荡仪时，它的魔法可能会时断时续，或是会有无法预测的副作用，这由DM决定。位面游荡仪的六个组件价格见上，而将六个组件合成还需要花费40000gp的手工费，因此完整的位面游荡仪总价为135000gp。</t>
  </si>
  <si>
    <t>元素精粹碎晶（土）</t>
  </si>
  <si>
    <t>这块碎裂的水晶含有着一个元素位面的精粹。作为一个动作，你可以将碎晶附上一件微型物件（如一把武器或一块珠宝）或摘下。当同调结束时它会掉落下来。当你持握或穿戴碎晶时，你可以将其作为法器使用。
根据元素精粹碎晶表格来决定碎晶的精粹类型和属性。当你持握或穿戴碎晶，并在一道法术上添加一种超魔效果，消耗了至少1点术法点时，你可以应用该属性。
土：你获得你所选择的一项伤害类型的抗性，直到你的下个回合开始。</t>
  </si>
  <si>
    <t>命运修枝剪</t>
  </si>
  <si>
    <t>该修枝剪的刀口上带有许多刻痕与凹痕，但依旧能干净利落地修剪。这把剪刀可以如一把魔法匕首被使用，且该武器拥有以下特性：永远锋利Ever Sharp。当你使用该剪刀进行的攻击命中时，目标受到额外1d6力场伤害。断丝命剪Sever Threads。当你使用该剪刀命中一个生物时，你便可以裁剪该生物的命运。直到目标进行一次长休之前，任何针对其的攻击检定的重击范围+1。一旦使用了该特性后，直到第二天黎明之前你无法再次使用该特性。</t>
  </si>
  <si>
    <t>节肢斗篷</t>
  </si>
  <si>
    <t>这件精美的服饰由黑色丝绸制成，其上用银色丝线绘成网状花纹。着装此斗篷后，你获得以下增益：·你获得对毒素伤害的抗性。·你获得和步行速度相同的攀爬速度。·你可以沿着垂直平面上下移动，甚至可以双手松开倒挂在天花板上。·你不会被任何种类的蛛网困住，在移动穿过蛛网时你将其视为等同于困难地形。·你可以用一个动作施展出法术“蛛网术Web”。如此创造的蛛网覆盖范围是普通蛛网术的两倍。直到次日黎明前，斗篷的这项属性都无法再次使用。</t>
  </si>
  <si>
    <t>灵马哨笛（底栖魔鱼Aboleth）</t>
  </si>
  <si>
    <t>命运主宰之牌+2</t>
  </si>
  <si>
    <t>奥法秘典+2</t>
  </si>
  <si>
    <t>奉献香炉</t>
  </si>
  <si>
    <t>这把链枷的圆形头部开有一些小孔，成徽记或图纹状排列。你可以把它视为圣徽，也能把它当成一把魔法武器。当你使用这把链枷进行攻击命中时，目标受到额外1d8光耀伤害。作为一个附赠动作，你可以说出命令语并使香炉散发出半径10尺的微弱熏香云，持续1分钟。在你的每个回合开始时，你和其他在熏香中的生物恢复1d4生命值。直到下次黎明前，此属性都不能再使用。</t>
  </si>
  <si>
    <t>根深蒂固法杖</t>
  </si>
  <si>
    <t>山丘符文被刻印在这根扭曲的木质法杖上。这把法杖的尺寸会根据同调它的生物，魔法性自我修改以适配同调者的体型。这把法杖可以被持用作一把魔法长棍，且使用它发起的攻击检定与其伤害掷骰上具有+1加值。在每个你的回合中你首次用这根法杖击中了任何生物时，那个生物必须通过一次DC12的力量豁免，豁免失败将被无数灵体藤蔓缠绕，导致陷入 束缚Restrained 状态，持续直至你的下一回合开始前。激活符文Invoking the Rune。以一个动作，你可以激活法杖上的符文以用其施展法术 人类定身术hold person（豁免DC12）或 植物交谈speal with plants 。当你用这根法杖施展人类定身术时，目标将完全被灵体藤蔓缠绕覆盖。此符文被激活后，直到次日黎明为止都无法被再度激活。</t>
  </si>
  <si>
    <t>异界行访录</t>
  </si>
  <si>
    <t>这本书的书页由邪魔的皮革装订，封面上绘制着多元宇宙巨轮的图样。这本书在被找到时，包含了以下法术：“放逐术Banishment”“获得魔宠Find Familiar”“异界之门Gate”“防护法阵Magic Circle”“异界誓缚Planar Binding”“元素召唤术Summon Elemental”。你可以将其作为法术书。你可以将其作为你法师法术的法器。书具有3发充能，且每天黎明时恢复1d3发已消耗的充能。可以通过以下方式消耗充能：如果你花费1分钟时间研究这本书，你可以消耗1发充能来将你的一道已准备法术替换为书中的另一道法术。新法术必须是咒法学派的法术。当你施展一道召唤或创造一个生物的咒法系法术时，你可以消耗1发充能使该生物在攻击检定时具有优势，持续1分钟。</t>
  </si>
  <si>
    <t>碎暮者</t>
  </si>
  <si>
    <t>这件魔法物品的外观像是一根用皮革包裹着的金属棒，上面装饰着黎明之父培罗的徽记。持握此武器时，你可以用一个附赠动作让一团噼啪作响的光辉喷薄而出。这柄战锤由光组成的锤头可以为其身边15尺半径范围提供明亮光照，以及其外15尺范围的微光光照。战锤发出的光视为阳光。碎暮者的锤头被激活后，你在使用碎暮者发动的攻击和伤害掷骰获得+2加值，它造成光耀伤害而非钝击伤害。被这柄战锤击中的不死生物将额外受到1d8点光耀伤害。你持握锤头被激活后的碎暮者时，你可以使用一个动作施放法术阳炎射线(豁免DC15)。第二天黎明前，此特性无法再次使用。在《施特拉德的诅咒》模组中，碎暮者的价格提高为8500gp。</t>
  </si>
  <si>
    <t>次元捕网</t>
  </si>
  <si>
    <t>被这件魔法捕网束缚的生物，处于锚定状态。</t>
  </si>
  <si>
    <t>西风护甲</t>
  </si>
  <si>
    <t>这套完整的白色与银色相间的护甲，其胸甲上承载着疾风符文。穿着此护甲期间，柔和的风会强化你的行动能力。你进行的敏捷（体操）检定与任何敏捷豁免具有优势。激活符文Invoking the Rune。以一个动作，你可以激活护甲上的符文以用其施展法术“风墙术wind wall”。此符文被激活后，直到次日黎明为止都无法被再度激活。</t>
  </si>
  <si>
    <t>飞旋彗星之冠</t>
  </si>
  <si>
    <t>这顶精致的银色王冠饰有星星图案。你戴上王冠时，王冠尖端上的宝石会分离并紧密围绕你的头部旋转。王冠有6发充能，在每个黎明时恢复1d6发已消耗的充能。你可在着装王冠期间消耗充能使用以下特性：星翔Star Flight。以一个附赠动作，你可以消耗1发充能获得持续10分钟等同于你的步行速度的飞行速度，并且可以悬浮。飞行时，你会发出微弱的星光。星光打击Starlight Strike。以一个动作，你可以消耗任意数量的充能来发射寒冷的星光。你发射的星矢数量等于所花费的充能数量，你可以决定这些星矢攻击120尺内可见的同一个生物或分别攻击不同的生物。星矢的攻击自动命中，可以触发命中时生效的特效，每发星矢都会造成2d4点寒冷伤害。飞旋冰雹Whirling Hail。以一个动作，你可以消耗3发充能施展“冰风暴ice storm”。</t>
  </si>
  <si>
    <t>强化飞翼斗篷</t>
  </si>
  <si>
    <t>元素精粹碎晶（气）</t>
  </si>
  <si>
    <t>这块碎裂的水晶含有着一个元素位面的精粹。作为一个动作，你可以将碎晶附上一件微型物件（如一把武器或一块珠宝）或摘下。当同调结束时它会掉落下来。当你持握或穿戴碎晶时，你可以将其作为法器使用。
根据元素精粹碎晶表格来决定碎晶的精粹类型和属性。当你持握或穿戴碎晶，并在一道法术上添加一种超魔效果，消耗了至少1点术法点时，你可以应用该属性。
气：你立即以飞行移动60尺，且不会引发借机攻击。</t>
  </si>
  <si>
    <t>勇气战争号角</t>
  </si>
  <si>
    <t>这根黄铜制的战争号角上刻印着战争符文，当号角被吹响时，战争符文也会闪耀出紫色的光芒。你可以以一个附赠动作吹响这根号角。此时，若你正处于 恐慌frightened 状态下，你身上的那一状态将立刻结束。同样的，你还会在对抗使你陷入恐慌的效应的豁免中具有优势，这一优势效应将持续直至你的下一回合开始。激活符文Invoking the Rune。当你吹响号角的同时，你还可以选择激活这一符文，用号角吹出一次长音。防护性的魔法将向外扩散，为你周围30尺范围内由你选择的生物带来增益，你与这些被增益的生物的AC获得+1加值，持续直至你的下一回合开始前。此符文被激活后，直到次日黎明为止都无法被再度激活。</t>
  </si>
  <si>
    <t>战法师魔杖+2</t>
  </si>
  <si>
    <t>梦族晶体+2</t>
  </si>
  <si>
    <t>调律者之鼓+2</t>
  </si>
  <si>
    <t>磨刀石+3</t>
  </si>
  <si>
    <t>元素捕网（4d6）</t>
  </si>
  <si>
    <t>夸尔羽符（鸟）</t>
  </si>
  <si>
    <t>这是一件外观类似羽毛的小物品。夸尔羽符有很多种，每种都有一个一次性效应。
你可以在自己的回合里用一个附赠动作命令长鞭飞行至多20尺并攻击它周围10尺内的一名生物。长鞭将在1小时后消失，你陷入失能或你死亡时鞭子也会消失。你可以用一个动作解消羽符的效应。
鸟：你可以用一个动作将这枚羽符抛到5尺高的空中。羽符将消失，取而代之的是一只五彩斑斓的大鸟。这只鸟使用鹏鸟roc的资料。它服从你的简单命令但无法攻击。负载不超过500磅时，它能以全速飞行（16里每小时，每飞行3小时休息1小时，每天至多飞行144里）。而负重不超过1000磅时则以半速飞行。大鸟飞过144里或生命值降至0后消失。你可以用一个动作解消羽符的效应。</t>
  </si>
  <si>
    <t>灵马哨笛（巨鹰）</t>
  </si>
  <si>
    <t>贤者印记（湮灭波、火球术）</t>
  </si>
  <si>
    <t>治愈法杖</t>
  </si>
  <si>
    <t>这把法杖有10发充能。持握法杖时，你可以用一个动作并消耗1发或更多充能以施展以下法术之一：“疗伤术Cure Wounds（每环1发充能，至多4充能）”、“次级复原术Lesser Restoration（2充能）”、“群体疗伤术Mass Cure Wounds（5充能）”。法杖每天黎明时恢复1d6+4发已消耗的充能。当充能耗尽时，骰一次d20。若骰值为1则法杖将在一阵闪光中消失。</t>
  </si>
  <si>
    <t>一石二鸟投石索</t>
  </si>
  <si>
    <t>你在使用此武器进行的攻击和伤害检定有+1的加成。当你用这个投石索进行远程攻击并击中一个目标时，你可以使弹药向第一个目标10尺内的第二个目标跳弹，然后对第二个目标进行一次远程攻击。若队伍中有角色拥有“军团式作战”专长，一石二鸟投石索的价格提高为150000gp。</t>
  </si>
  <si>
    <t>莹月弓</t>
  </si>
  <si>
    <t>这把银黑相间的弓上刻有月相。你使用这把弓进行的攻击检定和伤害掷骰获得+1加值。当你用这把魔法弓进行的攻击检定命中时，目标受到额外1d6点光耀伤害。如果这把武器没有装填弹药，它会在你使用它进行一次远程攻击时自动为自己制造出一发魔法弹药。被创造出的弹药命中或落空后会消失。你持握这把魔法弓时，可以用一个附赠动作进入月光躯体状态，该状态持续到你的下个回合开始。在月光躯体状态，你获得对钝击、穿刺和挥砍伤害的抗性。 此附赠动作一经使用，直到下次黎明前不能再次使用。</t>
  </si>
  <si>
    <t>幻奏琴弓</t>
  </si>
  <si>
    <t>这把弓有着多条弦（弓弦/琴弦），它形如一把里拉琴或一把小号竖琴。你可以在箭矢搭弦时弹奏弦，来为箭矢注入魔法的能量。精准旋律Melody of Precision。如果你熟练于表演技能，你的攻击检定将具有+1加值。如果你专精于表演技能，则改为获得+2加值。回响旋律Melody of Reverberation。你弹奏出的旋律响彻云霄。命中时，目标将受到等同于你智力调整值的额外雷鸣伤害。</t>
  </si>
  <si>
    <t>安防护甲</t>
  </si>
  <si>
    <t>镶嵌在这套护甲正中央的，是一颗刻印着盾牌符文的黄水晶。穿着这套护甲期间，你的生命值上限获得提升，其数额等同于10+你的等级 点。激活符文Invoking the Rune。以一个动作，你可以激活护甲上的符文以用其施展法术“希望信标beacon of hope”；此法术不需要专注，且其持续时间改为1分钟。此符文被激活后，直到次日黎明为止都无法被再度激活。</t>
  </si>
  <si>
    <t>以太化板甲</t>
  </si>
  <si>
    <t>着装该护甲时，你可以用一个动作说出命令语以获得“以太化etherealness”的效应，并持续10分钟，或直到你用一个动作再次说出命令语，亦或持续至你脱下此护甲。此后直到次日黎明前，该属性都无法再次启动。</t>
  </si>
  <si>
    <t>圣所护符</t>
  </si>
  <si>
    <t>这枚黑色蛋白石挂坠悬挂在一条珍珠项链的下方。神圣符文铭刻在这枚挂坠的背面。佩戴这件物品期间，你获得暗蚀伤害的抗性。此外，你可以用动作或附赠动作（由你选择）来施展戏法“维生术spare the dying”。激活符文Invoking the Rune。当你周围60尺范围内你可见的一名生物生命值因受到伤害而生命值降至0之前，你可以用你的反应去激活这件物品上的符文，让挂坠散发出一阵暗淡的光，他们将改为生命值降至1点，而非0点。此符文被激活后，直到次日黎明为止都无法被再度激活。</t>
  </si>
  <si>
    <t>铂金围巾</t>
  </si>
  <si>
    <t>这条围巾由坚固的布料制成，上面复盖着铂金色的鳞片。以一个动作，你可以从围巾上拔下一片鳞片并念出一句命令语。当你这么做时，从下列效果中选择其中之一生效。·生命之息。鳞片消失，然后你或者你触碰到的一个生物恢复10d4生命值·铂金战盾。鳞片变为一块+1盾牌，你或者另一个生物都可以使用它，盾牌持续一小时或者直到你解散它为止（不需要任何动作）。持用这块盾牌的生物免疫光耀伤害。·光耀战锤。鳞片变为一柄轻锤，你或者另一个生物都可以使用它，轻锤持续一小时或者直到你解散它为止（不需要任何动作）。这柄轻锤造成2d4光耀伤害而不是普通轻锤的钝击伤害。它对色彩龙造成额外2d4光耀伤害。一旦围巾被拔下三片鳞片，直到下一次黎明所有失去的鳞片重新长出之前，不能再取下任何一片鳞片。如果你拔下一片鳞片而不说出命令语，鳞片将会在一分钟之后消失。</t>
  </si>
  <si>
    <t>紫水晶磁石</t>
  </si>
  <si>
    <t>这块拳头大小的紫水晶被注入了紫水晶龙扭曲引力的能力。当你持用这块磁石时，你在力量豁免上具有优势。磁石有6发充能，当你持用这块磁石时可以消耗充能使用以下特性。磁石在每日黎明时恢复1d6发充能。飞行。以一个附赠动作，你可以消耗1发充能在十分钟内获得飞行的能力。在此期间你获得等同于你的步行速度的飞行速度，并且可以悬浮。引力猛推。以一个动作，你可以消耗一发充能将引力集中在60尺内一个你能看到的生物周围，目标必须通过一个DC18的力量豁免，否则朝你选择的方向被推出20尺。反重力。以一个动作，你可以通过磁石消耗3发充能，施展一道“反重力”。</t>
  </si>
  <si>
    <t>湮灭论文</t>
  </si>
  <si>
    <t>持握此论文时，你要操控“湮灭之球Sphere of Annihilation”而作的智力（奥秘）检定可以加上双倍熟练加值。另外，如果在你回合开始时你操纵着一个湮灭之球，则你可以用一个动作将之球升起10尺外加10×智力调整值的尺数。</t>
  </si>
  <si>
    <t>回溯引擎</t>
  </si>
  <si>
    <t>当你与该组件同调时，你获得+1体质豁免。你会周期性地收到旧日往事的闪回，因此你可以正确的回忆出在30天内发生的任何事情。·物品借取。你可以指定一个价值在50gp或以下的普通物品，它将出现在你手中或脚边。此物品可以是PHB第五章装备中出现的任何物品，或在DM许可下的任意相似物品。该物品会从世界上的其他地方传送给你，并且该物品是普遍存在的。因此你可以借取一把长剑，但你无法借取某个特定生物的长剑。该物品在出现10分钟后消失。一旦你使用了回溯引擎的这个能力，它在新一天前将无法被再次使用。·回溯指令。你可以使用一个动作，将你的当前地点设置为回溯点，锁定至回溯引擎内。至此以后，只要你在回溯引擎半径500尺内，你可以使用一个附赠动作传送至回溯点。一旦你使用了回溯引擎的这个能力，它在新一天前将无法被再次使用。·六位一体。当这件组件未被安装进位面游荡仪时，它的魔法可能会时断时续，或是会有无法预测的副作用，这由DM决定。</t>
  </si>
  <si>
    <t>星界碎晶</t>
  </si>
  <si>
    <t>这块水晶是一块来自星界位面的坚硬碎晶，银色的迷雾在其表面上流转。作为一个动作，你可以将碎晶附上一件微型物件（如一把武器或一块珠宝）或摘下。当同调结束时它会掉落下来。当你持握或穿戴碎晶时，你可以将其作为法器使用。当你持握或穿戴碎晶，并在一道法术上添加一种超魔效果，消耗了至少1点术法点时，可以在施展法术后立即传送到至多30尺内一个你能看见且未被占据的位置。</t>
  </si>
  <si>
    <t>月镰+2</t>
  </si>
  <si>
    <t>支配权杖</t>
  </si>
  <si>
    <t>你可以用一个动作展示权杖，并指定周边120尺内若干你能看见的生物使其服从于你。每个目标必须成功通过一次DC 15的感知豁免否则被你支配8小时。如果你或你的同伴伤害了被支配者，或是命令被支配者进行违反其天性的行为，支配将立即终止。此后直到次日黎明前，该权杖都无法再次启动。</t>
  </si>
  <si>
    <t>飞光</t>
  </si>
  <si>
    <t>飞光看起来是一把小巧的闪耀匕首。当你与飞光同调后，它将化作一个光点，浮现在你的手心。你可以用意念（无需任何动作），让光点变成被你持握的+1闪耀匕首（武器伤害骰为2d4光耀伤害，在攻击检定和伤害掷骰上具有+1加值，是魔法匕首），或是让闪耀匕首变回光点。如果你将+1闪耀匕首投掷出去，该次攻击结算完毕后，闪耀匕首会消失，而你的手心重新出现光点。</t>
  </si>
  <si>
    <t>骑士扈从板甲</t>
  </si>
  <si>
    <t>这套闪闪发光的银金板甲永远不会失去光泽。着装这件盔甲期间，你可以用一个附赠动作召唤一位武者的精魂来协助你。精魂会以实体形态显现在你选择的距你30尺内的一个未被占据的空间中，它使用“骑士knight”的资料。精魄会持续存在1分钟，并在其生命值降至0时提前消失。精魂使用你的先攻，并且在你的回合后立即行动。精魂服从你的命令（无需动作）。如果你没有发出命令，精魂就会在它的回合进行闪避动作并移动以躲避危险。此附赠动作一经使用，直到下次黎明前不能再次使用。</t>
  </si>
  <si>
    <t>命源刺青</t>
  </si>
  <si>
    <t>该魔法刺青用一根特殊的针制作，绘有生命与重生的符号。刺青同调。同调此物品时，你需要将针持握，并抵在你想要让刺 青出现的那处皮肤上。当同调完成时，针头会化为墨水再变成刺青。若你与刺青的同调结束，刺青会消失，针头会再次出现在你的位置中。暗蚀抗性。你获得对暗蚀伤害的抗性。生命结界。当你生命值降至0时，改为生命值降至1。使用后，直到下次黎明前，此属性不能再次使用。</t>
  </si>
  <si>
    <t>虔信护符+2</t>
  </si>
  <si>
    <t>环印骑士直剑</t>
  </si>
  <si>
    <t>环印骑士持有的黑色直剑。前人的武器经过深渊淬炼，因此带有些许生命。据说也因为如此，诸神才会将剑与其主一同设下火的封印。你使用环印骑士直剑发动的攻击检定和伤害掷骰获得+1加值。在战斗中，你可以用一个附赠动作，让直剑燃起余火，改变你接下来1分钟内使用直剑发动的前5次近战攻击的攻击模式。你不能在战斗外使用此特性。第1击和第2击，横扫。攻击时，额外指定一个在你触及距离内、除了攻击目标以外的生物。若你的攻击检定结果达到了该生物的AC，对该生物造成等同于“直剑的武器基础伤害骰”的火焰伤害。第3击和第4击，斜掠。攻击时，若目标的体型大于或等于你，在命中后对目标额外造成等同于“直剑的武器基础伤害骰”的火焰伤害。第5击，回旋。攻击时，你同时对触及范围内的每一个生物发动一次攻击，这些攻击造成火焰而非挥砍伤害。</t>
  </si>
  <si>
    <t>龙触法器（激活）</t>
  </si>
  <si>
    <t>这个物品可以是法杖、法球、护符、水晶或其他的精制物件。它通常包含有龙的翅膀、爪子、牙齿或鳞片的象形。
沉睡。你的先攻检定具有优势。当你持握这件法器时，它可以作为你施展所有法术的法器。
激活。激活法器具有沉睡状态的特性，它还获得了另一个特性，由激活它的宝库的主龙的族裔决定：色彩。每当你使用法术位施展一道造成强酸、冷冻、火焰、闪电或毒素伤害的法术时。投掷一个d6，你在这个法术的其中一个伤害掷骰上增加掷出的值。宝石。当你使用法术位施放一道法术时，你可以立即传送到距离你15尺内一处你能看见且未被占据的空间。金属。当一个你能看到的生物在你30英尺内进行豁免检定时，你可以使用你的反应使该生物在这次豁免检定上获得优势。</t>
  </si>
  <si>
    <t>读心水晶球</t>
  </si>
  <si>
    <t>标准的水晶球通常直径6寸，接触水晶球时，你可以用它施展出法术“探知Scrying”（豁免DC17）。
读心水晶球Crystal Ball of Minf Reading。使用此水晶球施展法术“探知Scrying”时，你可以用一个动作指定该法术传感器周围30尺内你能看到的生物，并对其施展法术“侦测思想Detect Thoughts”。该侦测思想持续期间你无需为其保持专注，但如果“探知Scrying”法术终止它也将随之终止。</t>
  </si>
  <si>
    <t>幸运石+2</t>
  </si>
  <si>
    <t>贤者印记（活力灵光、群体疗伤术）</t>
  </si>
  <si>
    <t>象牙爪杖</t>
  </si>
  <si>
    <t>这根浅灰色和天蓝色的手杖顶端有一个象牙雕刻的小龙爪。持杖时，你的法术攻击检定得到+1加值。当你发起一次法术攻击并骰出重击时，目标将受到额外的3d6光耀伤害（并因为重击翻倍而变成6d6光耀伤害）。</t>
  </si>
  <si>
    <t>普利希拉镰刀</t>
  </si>
  <si>
    <t>画中世界，纯白半龙普利希拉所使用的巨大镰刀，如果不是龙类却使用这把武器，其威力将会反噬自身。你使用普利希拉镰刀发动的攻击检定和伤害掷骰获得+1加值。巨镰具有6发充能，在每日黎明时恢复1d6发充能。持握巨镰时，你可以消耗1发充能，对自己施展 隐形术Invisibility 。如果你的生物类型为龙类，你通过巨镰对自己施展隐形术无需消耗充能。</t>
  </si>
  <si>
    <t>火巨灵板甲</t>
  </si>
  <si>
    <t>着装该护甲时，你的AC获得+1加值，且免疫火焰伤害，还可以说和理解原初语Primordial。此外，你还可以像在坚实地面上一样行走于熔岩上。</t>
  </si>
  <si>
    <t>反射闪避戒指</t>
  </si>
  <si>
    <t>这枚戒指使你获得“反射闪避”特性。反射闪避你敏锐的直觉让你可以躲过某些特定的区域效应，比如蓝龙的闪电吐息或是法术火球术fireball。你在成为某一范围效应影响对象时，若该效应允许你通过成功的敏捷豁免来使伤害减半，则你在该豁免成功时不受伤害，而豁免失败时只受一半伤害。</t>
  </si>
  <si>
    <t>虹光法袍</t>
  </si>
  <si>
    <t>这件长袍有3发充能，且每天黎明时恢复1d3发已消耗的充能。着装这件长袍时，你可以用一个动作并消耗1发充能让长袍显现不断变幻的耀眼图像，直到你的下回合结束。这段时间内，长袍提供30尺的明亮光照和额外30尺的微光光照。能看到你的生物对你发动的攻击检定具有劣势。另外，在长袍效应启动期间，任何处于长袍产生的明亮光照区域内，且可以看到你的生物必须成功通过一次DC 15的感知豁免否则被震慑直到长袍的效应终止。</t>
  </si>
  <si>
    <t>铭记药水（8环）</t>
  </si>
  <si>
    <t>异能塑像（黑曜石驹）</t>
  </si>
  <si>
    <t>狂宴手风琴</t>
  </si>
  <si>
    <t>当持握这把手风琴时，你的吟游诗人法术豁免DC获得+2加值。作为一个动作，你可以用手风琴施展“奥图迷舞Otto’s irresistible dance法术”。手风琴的此项属性直到下次黎明前，不能再次使用。</t>
  </si>
  <si>
    <t>重生坩埚</t>
  </si>
  <si>
    <t>这只微型小锅的铸铁侧边上刻有英雄群像的浮雕。你可以将这件坩埚作为你德鲁伊或契术师法术的法器，且其可以作为“探知Scrying”法术的代替材料。当你完成一次长休时，你可以使用坩埚制造一瓶“高等治疗药水Potion of Greater Healing”。药水持续24个小时，若其没有被使用，则它失去魔力。作为一个动作，你可以让坩埚增大至足以容纳一个中型生物。你可以用一个动作让坩埚恢复其普通大小，并且无害地将任何它无法容纳的东西转出到最近未被占据的位置。如果你将一个类人生物的尸体放入坩埚之中并将200磅的盐（耗费10金币）复盖到坩埚之上持续八小时，那么盐会被消耗，而那个生物会在下一个黎明时复活，如同“死者复活Raise Dead”法术。使用后七日之内，坩埚的此项属性无法再次使用。</t>
  </si>
  <si>
    <t>黄玉歼灭者</t>
  </si>
  <si>
    <t>这件魔法远程武器形似一把毛瑟枪，但是作为弹药的替代，它使用一片在它核心处不断生长的黄玉龙鳞片。这件武器具有 100尺常规射程和300尺最大射程，并且具有双手特性。它在命中时造成2d6黯蚀伤害。如果这个伤害把一个生物或物件的HP降至0，这个目标将会化为尘埃。化作尘埃的生物只能被完全复生术或许愿术复活。当这件武器在你身上时，你可以以一个动作施展一道“解离术”，当这项特性被使用之后，直到下次黎明前不能再使用它。</t>
  </si>
  <si>
    <t>武者的万能钥匙</t>
  </si>
  <si>
    <t>这把银色的万能钥匙摸起来很温暖。若你持握着钥匙形态的它，你便可以用一个动作从钥匙中施展法术“敲击术knock”。转化钥匙Transforming the Key。持握钥匙期间，你可以用一个附赠动作将其转变为一把魔法长剑。你熟练于这把剑，并且你用它进行的攻击检定和伤害掷骰获得+1加值。命中目标时，剑会额外造成1d10点力场伤害。该物品的剑形态持续到你不再持握它或者你用一个附赠动作将其恢复到钥匙形态为止。如果你在该物品处于剑形态时结束对该物品的同调，它会自动恢复到钥匙形态。</t>
  </si>
  <si>
    <t>蓝宝石圆盾</t>
  </si>
  <si>
    <t>这块水晶蓝的盾牌由蓝宝石龙的鳞片制成，为了协助根除异怪的影响而被创造出来。持握这块盾牌的时候，你对心灵和雷鸣伤害具有抗性。同时，当你受到来自一个你5尺内的生物的伤害时，你可以用反应对其造成2d6雷鸣伤害以一个动作，你可以用这块盾牌帮助你定位异怪，直到你的下一个回合结束为止。如果在你周围1里内有异怪，盾牌会暂时发出低沉的嗡嗡声，并且你会得知此范围内所有异怪所在的方向。一旦你使用了此效应，直到下次黎明之前不能再次使用。</t>
  </si>
  <si>
    <t>迪恩的折叠要塞</t>
  </si>
  <si>
    <t>如果你用一个动作把这个棱长1寸的金属立方体放在地上并说出命令语，它将迅速变成一座要塞。要塞内空无一人时，你可以用一个动作说出命令语让它恢复折叠状态。这个要塞是一座方形的高塔，长宽各20尺，高30尺。要塞各面墙上都有箭孔，顶端则为城垛。它的内部被分为两层，其间由楼梯连通。楼梯向上最终可以达到要塞顶部的活板门。要塞被激活时，它面向你的一面上会出现一扇小门。小门只会因你的命令而开启。说出开门的命令语需要一个附赠动作。这扇门不会受到 敲击术knock和类似魔法效应的影响（比如开门钟琴chime of opening的效应）。要塞展开时，它即将占据空间位置里的每个生物必须进行一次DC 15的敏捷豁免，豁免失败者将受到10d10点钝击伤害，豁免成功则伤害减半。无论通过与否，这些生物都会被推到要塞旁边未被占据的空间里。未被着装或携带的物件将直接受到伤害并被推到要塞旁边未被占据的空间里。要塞由精金打造，魔法力量保护它不会被推倒。要塞的顶部、门和每面墙都有100点生命值，免疫除攻城武器外任何非魔法武器造成的伤害，且对其他所有伤害具有抗性。只有法术祈愿术wish 可以修复要塞。每一道祈愿术wish可以为要塞顶部、大门或一面墙恢复50点生命值。</t>
  </si>
  <si>
    <t>阿瑟蒙妮之弹丸（震慑）</t>
  </si>
  <si>
    <t>这些弹药装在一个袋子里，里面有1d4+4颗弹丸。在列表上为每颗弹丸投骰，以确定其魔法属性。
你在用这些弹丸做出的攻击和伤害检定有+2的加成。如果弹丸没有击中目标，弹丸会传送回弹袋。一旦弹丸击中目标，弹丸就会失去魔力。
震慑Stunning。命中后，此弹丸会造成额外的1d10力场伤害，目标会被震慑直到你的下一回合结束。
一袋价格为1d4+4颗随机弹丸的单价的总和。在竞技场或短团中，震慑弹丸为非卖品。</t>
  </si>
  <si>
    <t>灵马哨笛（风神翼龙）</t>
  </si>
  <si>
    <t>防护斗篷+2</t>
  </si>
  <si>
    <t>防御戒指+2</t>
  </si>
  <si>
    <t>命令水元素戒指</t>
  </si>
  <si>
    <t>这枚戒指连接着四个元素位面之一，由DM决定或随机选择。着装这枚戒指时，你对来自戒指连接位面的元素发动攻击检定时具有优势，且它们对你发动的攻击检定具有劣势。另外，视戒指连接的位面不同，你还获得相应的属性（见下）。戒指有5发充能，每天黎明时恢复1d4+1发已消耗的充能。
你可以消耗2发充能对一名水元素施展法术“支配怪物Dominate Monster”。另外，你可以在液体表面移动或站立，如同在坚实的地面上一般。你可以说和理解水族语Aquan。如果你维持与戒指同调期间参与杀死了一名水元素，则你额外获得以下属性：·你可以在水下呼吸，并获得等同于步行速度的游泳速度。·你可以利用戒指施展以下法术（消耗充能数在括号中注明）：“造水/枯水术 Create or Destory water”（1充能）、“冰风暴Ice Storm”（2充能）、“冰墙术Wall of Ice”（3充能）、“操纵水体Control Water”（3充能）。</t>
  </si>
  <si>
    <t>至恶护符</t>
  </si>
  <si>
    <t>这枚护符是至恶的象征。主动接触到护符的非善良非邪恶生物受6d6点黯蚀伤害，善良生物则受8d6点黯蚀伤害。如果这两类生物在自己回合结束时仍握持或携带着护符，则会再次受到等量伤害。邪恶的牧师或圣武士可以将至恶护符当作圣徽使用，持握或佩戴它时进行的法术攻击检定获得+2加值。至恶护符有7发充能。持握或佩戴它时，你可以用一个动作，消耗1发充能并选择你周围120尺内地面上一个你能看见的生物。如果目标属于善良，则一道冒着火焰的裂隙将在它脚下打开。目标必须成功通过一次DC 20的敏捷豁免否则坠入裂隙，尸骨无存。裂隙随后将不留痕迹地关闭。充能耗尽后，护符将被摧毁，化为散发着恶臭的粘液。</t>
  </si>
  <si>
    <t>耀闪灭击铳</t>
  </si>
  <si>
    <t>这把魔法武器是一根三管青铜滑膛枪，这把枪的枪托上有印着光明符文的纹章装饰。作为弹药的替代，它发出光线作为射击方式。你使用它发动的攻击检定与其伤害掷骰具有+1加值。这件武器具有40尺常规射程和120尺最大射程，并且具有双手属性。它在命中时造成1d12光耀伤害。与这把枪同调期间，你可以随意用这把枪施展戏法“舞光术dancing lights”。激活符文Invoking the Rune。以一个动作，你可以激活武器上的符文以用其施展法术“阳炎射线sunbeam”。此符文被激活后，直到次日黎明为止都无法被再度激活。</t>
  </si>
  <si>
    <t>炽焰无畏者之盾</t>
  </si>
  <si>
    <t>这个铁质盾牌模仿着某些火巨人手里强大的带刺塔盾，不断地散发出温暖。你可以使用一个附赠动作以激活这个盾牌，令发光的熔岩在盾上的凹槽处涌动持续一分钟。当盾牌被激活后，直到下一个黎明它都不能被再激活。当盾牌被激活时，你获得如下好处:炽魂Blazing Soul。你拥有对火焰伤害的免疫。净火Cleansing Fire。你可以以一个动作令盾牌爆发出来自苏尔特的净火。选择你自己，或是一名30尺内你能看见的生物，一个你选择的影响着该生物的疾病或者状态会立刻结束。这些状态可以是 目盲blinded，魅惑charmed，耳聋deafened 或 中毒poisoned 。盾击Shield Bash。当你在你的回合内采取攻击动作时，你可以用一次盾击替换你的一次攻击，瞄准一名5尺内你能看见的生物。那名生物必须通过一次力量豁免(dc为8+你的熟练加值+你的力量调整值)，否则将受到3d6点钝击伤害外加3d6点火焰伤害并被击倒在地。当豁免成功时，那名生物只受到一半的伤害。你每回合只能使用一次盾击。</t>
  </si>
  <si>
    <t>位面护符</t>
  </si>
  <si>
    <t>着装此护符时，你可以用一个动作来点名一处你熟悉的另一存在位面地点，然后进行一次DC 15的智力检定。如果检定通过，则你施展出法术“异界传送 plane shift”。如果检定失败，你将和15尺内的每个生物和物件一起被传送到一个随机地点。骰一次d100。如果骰值为1~60，则你被传送到你点名位面中的随机地点。如果骰值为61~100，则你被随机传送到一个存在位面。</t>
  </si>
  <si>
    <t>强化飞翼之靴</t>
  </si>
  <si>
    <t>鬼步刺青</t>
  </si>
  <si>
    <t>该魔法刺青用一根特殊的针制作，图案于你身上各处闪烁、模糊不清。刺青同调。同调此物品时，你需要将针持握，并抵在你想要让刺青出现的那处皮肤上。当同调完成时，针头会化为墨水再变成刺青。若你与刺青的同调结束，刺青会消失，针头会再次出现在你的位置中。鬼灵形态。刺青具有3发充能，且每天黎明时恢复所有已消耗的充能。刺青在你的皮肤上时，作为一个附赠动作，你可以消耗 1发刺青的充能，进入虚化状态，直到你的下个回合开始。如果效果结束时你处于实体内，你会被排出到最近一处未被占据的空间，并且每移动5尺就受到 1d10力场伤害。</t>
  </si>
  <si>
    <t>凯尔金的泥怪</t>
  </si>
  <si>
    <t>这团乳白色的共生体黏液被密封在一个罐子里，不断缓慢地移动和变化，仿佛是在探索罐子内部。要与该共生体同调，你必须先喝下罐子里的黏液，以获取以下特性：获得抗力。当你与凯尔金的泥怪同调时，你获得对毒素和强酸伤害的抗性，同时对中毒状态免疫。不定形态。你可以耗费一个动作说出一个命令词，来使你的身体呈现出泥怪的不定形态特性。在接下来的一分钟里，你（连同你所穿戴或携带的任何设备）可以通过一个只有1英寸宽的空间而不视为挤入。本能力被使用后，直到次日黎明前将无法再使用。强酸喷吐。你可以耗费一个动作，喷出一条30英尺长、5英尺宽的强酸吐息。范围内的每一个生物都要进行一次DC 15的敏捷检定，豁免失败将受到36（8d8）点强酸伤害，成功则只承受一半伤害。本能力被使用后，直到次日黎明前将无法再使用。共生体。当你与凯尔金的泥怪同调时，泥怪不能从你身上被移除，你也不能主动结束对它的同调。如果你成为一个能结束诅咒的法术的目标，那么你与泥怪的同调自动结束，它将会渗出你的身体。如果你在体内含有泥怪的时候死亡，泥怪将会破体而出将你的尸体吞噬，然后变成一只黑布丁怪，其视为异变魔的盟友。</t>
  </si>
  <si>
    <t>活化盾</t>
  </si>
  <si>
    <t>你可以持握此盾时并使用附赠动作说出其命令语使其活化。盾牌将飞到空中并悬浮在你所占据空间中保护你，跟随你移动，如同你正持用它一般，且同时解放了你的双手。盾牌保持活化，直至你陷入失能、死亡或使用一个附赠动作终止其效应。如果盾牌终止活化时，你有一只手空着，盾牌将落回你手里。否则它会掉落在地上。</t>
  </si>
  <si>
    <t>平衡胸甲</t>
  </si>
  <si>
    <t>这件抛光的铜胸甲看起来像是由互锁的齿轮交错而成的，其胸前饰有天平的图案。这套护甲有4发充能。着装护甲期间，你可以通过以下方式消耗充能：均衡Equalize。当你或距你60尺内的可见生物即将以优势或劣势进行d20掷骰时，你可以用一个反应消耗1发充能使这次掷骰免受优势或劣势的影响。抹除不均Expunge Imbalance。以一个附赠动作，你可以消耗2发充能用护甲施放“次级复原术lesser restoration”。护甲在每个黎明时恢复1d4发已消耗的充能。</t>
  </si>
  <si>
    <t>复鳞饰物（觉醒）</t>
  </si>
  <si>
    <t>这个饰物可以是珠宝，斗篷或其他可穿戴的装饰品。它似乎是由龙的鳞片、牙齿或爪子塑造而成，或者是包含有这些形状的图像。 
沉睡。你在为避免陷入魅惑或恐惧，或者结束这些状态所做的的豁免检定中具有优势。
激活。你在AC上获得+1加值，并且你不会魅惑或恐惧。此外，你所选择的30尺内的每一个生物在为避免陷入魅惑或恐惧，或者结束这些状态所做的豁免检定中具有优势。
觉醒。觉醒的饰物有激活状态的特性。此外，当你受到使饰物觉醒的宝库主龙的吐息武器的伤害类型的伤害时，你可以用你的反应来免受这次伤害，并且你恢复等同于你原本应受的伤害数值的伤害。一旦这项特性被使用，直到下一个黎明之前它不能被再次使用。</t>
  </si>
  <si>
    <t>心灵感应水晶球</t>
  </si>
  <si>
    <t>标准的水晶球通常直径6寸，接触水晶球时，你可以用它施展出法术“探知Scrying”（豁免DC17）。
心灵感应水晶球Crystal Ball of Telepathy。使用此水晶球施展法术“探知Scrying”时，你可以与该法术传感器周围30尺内你能看到的生物以心灵感应的方式交流。你还可以用一个动作，通过传感器对这些生物中的某一个施展“暗示术Suggestion”。该暗示术 持续期间内你无需为它保持专注，但如果探知 终止它也将随之终止。使用后，水晶球的暗示能力直到次日黎明前都无法再次启动。</t>
  </si>
  <si>
    <t>警示权杖</t>
  </si>
  <si>
    <t>这把权杖顶端有尖刺状凸起。权杖具有以下属性：警觉Alertness。持握这把权杖时，你进行的感知（察觉）检定和先攻检定具有优势。法术Spells。持握这把权杖时，你可以用一个动作施展以下法术之一：侦测善恶detect evil and good、侦测魔法detect magic、侦测毒性和疾病detect poison and disease、识破隐形see invisibility。防护灵光Protective Aura。你可以用一个动作将这把权杖的柄插入地面。权杖顶部将放出光芒，提供60尺的明亮光照和额外60尺的微光光照。处于明亮光照区域时，你和任何对你友善的生物其AC和豁免获得+1加值，且可以感知区域内有敌意的隐形生物的位置。此效应持续十分钟或直到一名生物用一个动作将权杖拔起。此后直到次日黎明前，该属性都无法再次启动。</t>
  </si>
  <si>
    <t>火焰法杖</t>
  </si>
  <si>
    <t>持握这把法杖时，你对火焰伤害具有抗性。这把法杖有10发充能。持握法杖时，你可以用一个动作并消耗1发或更多充能以施展以下法术之一：“燃烧之手Burning Hand（1充能）”“火球术Fireball（3充能）”“火墙术Wall of Fire（4充能）”。法杖每天黎明时恢复1d6+4发已消耗的充能。当充能耗尽时，骰一次d20。如果骰值为1，则法杖将化为灰烬而毁灭。</t>
  </si>
  <si>
    <t>九转夺命剑</t>
  </si>
  <si>
    <t>你用此魔法武器发动的攻击检定和伤害掷骰获得+2加值。九转夺命剑有1d8+1发充能。当你用此剑对一名生命值不足100的生物造成重击时，它必须成功通过一次DC 15的体质豁免否则立刻因生命力被剑吸干而死（不死生物和构装生物免疫）。如果该生物因此被杀，剑将消耗1发充能。用尽充能后，剑将失去该属性。</t>
  </si>
  <si>
    <t>力场魔方</t>
  </si>
  <si>
    <t>这个立方体棱长约1寸，每个面上都有一个可以按压的独特标记。它共有36发充能，每天黎明时会恢复1d20发已消耗的充能次数。立方体每一面都可以产生不同的效应。你可以用一个动作按下立方体某一面，并消耗如下表所示的充能。如果立方体充能不足，则什么也不会发生。否则，按下后将产生一股无形力场构成的障壁，形成一个棱长15尺的立方区域。障壁持续1分钟，并以你为中心移动，直至你用一个动作按下立方体的第六个面或立方体耗尽了充能。你可以按下不同的面来改变障壁的效应，但这会消耗相应的充能而其效应的持续时间也将重新开始计算。如果由于你的移动使障壁与不能穿过它的固定物件接触，那么你在障壁持续时间内将无法更加靠近该固定物件。当障壁成为某些特定法术目标，或是与某些特定法术、魔法物品效应接触时，立方体将失去一部分充能，如下表所示。</t>
  </si>
  <si>
    <t>旅行表盘</t>
  </si>
  <si>
    <t>当你与该组件同调时，你获得+1敏捷豁免，并保持方向感。并且，只要你想，你就可以对你自身施放法术大步奔行 Longstrider。·路线规划。你可以指定你当前位置半径10里内的任一地点，并且这一地点半径10里内必须至少有一个生物知晓其所在（包括你自己）。一旦你指定好地点，你将会听到一道空洞的声音（其他人无法听见）指导你如何最安全，最快捷的前往该地点。这道声音知道如何躲避自然危险，并且不会引导你穿过荒野或走进湖泊。但它没有智慧或能力帮助你躲避怪物，敌人，陷阱，上锁的门以及类似情况。表盘无法规划前往完全秘密，无人知晓的地方。一旦你使用了旅行表盘的这个能力，它在新一天前将无法被再次使用。·金蝉脱壳。你可以使用一个动作施放法术传送术 Teleport。一旦你使用了旅行表盘的这个能力，它在新一天前将无法被再次使用。·六位一体。当这件组件未被安装进位面游荡仪时，它的魔法可能会时断时续，或是会有无法预测的副作用，这由DM决定。</t>
  </si>
  <si>
    <t>冥河水</t>
  </si>
  <si>
    <t>只有思维一片空白的婴儿才能从冥河水中获益。将冥河水涂抹在一个类人生物的婴儿身上，会让他此后获得对“非魔法武器的钝击、挥砍、穿刺伤害”的抗性。但当他受到重击时，他对造成重击的攻击没有任何抗性，而且具有易伤。他也无法从米捷护甲“将命中你的重击改为普通命中”或类似能力中获益。枯滩私货 Blightshore Contraband</t>
  </si>
  <si>
    <t>异界精粹碎晶（守序）</t>
  </si>
  <si>
    <t>这块闪烁着的水晶蕴含着一处外层位面的精粹。作为一个动作，你可以将碎晶附上一件微型物件（如一把武器或一块珠宝）或摘下。当同调结束时它会掉落下来。当你持握或穿戴碎晶时，你可以将其作为法器使用。
根据异界精粹碎晶晶表格来决定碎晶的精粹类型和属性。当你持握或穿戴碎晶，并在一道法术上添加一种超魔效果，消耗了至少1点术法点时，你可以应用该属性。
守序：你可以终止正影响你或距离你30尺内且你可见的一个生物的下列状态之一：魅惑、目盲、耳聋、恐慌、中毒、震慑。</t>
  </si>
  <si>
    <t>强化圣所护符</t>
  </si>
  <si>
    <t>吞噬袋</t>
  </si>
  <si>
    <t>这个表面上看起来像是次元袋bag of holding的袋子实际上是某个巨大异次元生物的进食口。将袋子内外翻转就可以关闭进食口的通道。与这个袋子关联的异次元生物可以感知到任何放入袋中的东西。完整放入袋中的动物或植物将被吞噬而永久消失。活物的一部分被放入袋中时（例如有人把手伸入袋子里时），该生物有50%概率被拖入袋中。进入袋中的生物可以用一个动作进行一次DC 15的力量检定以从中逃脱。另一个生物可以用一个动作进行一次DC 20的力量检定来将被吞噬的生物拉出来（前提是该生物自己没被拖入袋中）。任何在袋中开始其自己回合的生物都将被吞噬，其躯体被摧毁。无生命物件可以存放在袋子里，袋子至多可容纳1立方尺的东西。此外，该袋子每日会有一次将其内的所有物件吐到另一存在位面。具体哪个位面由DM决定。袋子被戳破或撕裂时即被摧毁。其内的所有东西都将被传送到星界位面的随机地点。你无法把一件次元容器放进另一件次元容器中。</t>
  </si>
  <si>
    <t>超魔权杖（法术扩展）</t>
  </si>
  <si>
    <t>超魔权杖（法术强效）</t>
  </si>
  <si>
    <t>真知水晶球</t>
  </si>
  <si>
    <t>标准的水晶球通常直径6寸，接触水晶球时，你可以用它施展出法术“探知Scrying”（豁免DC17）。
真知水晶球Crystal Ball of True Seeing。使用此水晶球施展法术“探知Scrying”时，你对该法术传感器周围半径120尺范围拥有真实视觉感官。</t>
  </si>
  <si>
    <t>魔网碎片指环+2</t>
  </si>
  <si>
    <t>命令土元素戒指</t>
  </si>
  <si>
    <t>这枚戒指连接着四个元素位面之一，由DM决定或随机选择。着装这枚戒指时，你对来自戒指连接位面的元素发动攻击检定时具有优势，且它们对你发动的攻击检定具有劣势。另外，视戒指连接的位面不同，你还获得相应的属性（见下）。戒指有5发充能，每天黎明时恢复1d4+1发已消耗的充能。
你可以消耗2发充能对一名土元素施展法术“支配怪物Dominate Monster”。另外，你可以在瓦砾、岩石或泥泞造成的困难地形中如常移动。你可以说和理解土族语Terran。如果你维持与戒指同调期间参与杀死了一名土元素，则你额外获得以下属性：·你获得对强酸伤害的抗性。·你可以移动穿过坚实的地面或岩石内，其规则等同于穿过困难地形。如果你在穿行途中结束自己的回合，则你将被推至你最后占据过的未被占据的空间。·你可以利用戒指施展以下法术（消耗充能数在括号中注明）：“塑石术Stone Shape”（2充能）、“石肤术Stoneskin”（3充能）、“石墙术Wall of Stone”（3充能）。</t>
  </si>
  <si>
    <t>古锭刀</t>
  </si>
  <si>
    <t>在吴地自古流传的制式武器。环首状，扁柄向一侧稍弯曲，中间凹，两侧起棱。柄、刀间有突出的齿状阑，刀背微凹，刀尖上翘。刀身细长轻薄。当你使用古锭刀向一个不能再执行反应的生物攻击时，你可以为该攻击的伤害掷额外的骰子。将该攻击所有的伤害骰多掷一次，再将其结果相加，然后如常应用适用的调整值。古锭刀造成重击时，这些额外的伤害骰不会翻倍，伤害骰数量变为三倍——举例来说，双手持握古锭刀，对一个不能执行反应的生物造成重击，会造成3d10点挥砍伤害。</t>
  </si>
  <si>
    <t>真·古锭刀</t>
  </si>
  <si>
    <t>在吴地自古流传的制式武器。环首状，扁柄向一侧稍弯曲，中间凹，两侧起棱。柄、刀间有突出的齿状阑，刀背微凹，刀尖上翘。刀身细长轻薄。当你使用真·古锭刀向一个没有携带魔法卡牌的生物攻击时，你可以为该攻击的伤害掷额外的骰子。将该攻击所有的伤害骰多掷一次，再将其结果相加，然后如常应用适用的调整值。真·古锭刀造成重击时，这些额外的伤害骰不会翻倍，伤害骰数量变为三倍——举例来说，双手持握真·古锭刀，对一个没有携带魔法卡牌的生物造成重击，会造成3d10点挥砍伤害。//魔法卡牌包括：幻象牌组、奇迹牌组、万象无常牌、鲁芭的灵魂塔罗牌，以及类似的奇物。</t>
  </si>
  <si>
    <t>隼面</t>
  </si>
  <si>
    <t>这带翼的面罩使你着装它时具有60尺飞行速度，并在掷先攻权时具有优势。</t>
  </si>
  <si>
    <t>防护圣甲虫</t>
  </si>
  <si>
    <t>如果你用手握住这个甲虫形徽章1轮，它表面上将浮现出铭文，揭示其魔法本质。当你携带圣甲虫时，它为你提供两项增益：·你在对法术进行的豁免具有优势。·圣甲虫有12发充能。如果你在对抗一个死灵系法术或由不死生物造成的有害效应时豁免失败，则你可以使用反应并消耗1发充能以使该豁免成功。充能耗尽后，防护圣甲虫将化为灰烬。</t>
  </si>
  <si>
    <t>储法戒指</t>
  </si>
  <si>
    <t>这枚戒指可以储存对它施展的法术，保存直到与它同调的生物使用这些法术。戒指中可以储存的法术环数之和不能超过5。新发现的储法戒指可能已经储存了由DM选定1d6-1个环阶的法术。任何生物都可以在施展一个1环到5环法术时接触戒指以将该法术储存在戒指中。如此被施展的法术将被储存，而不会立即生效。如果法术无法储存在戒指中，则它将被浪费而不产生任何效应。施展法术所使用的法术位环阶决定该法术在戒指中占据的空间。着装此戒指时，你可以施展其中储存的任何法术。使用原施法者的资料决定法术的环阶、豁免DC、法术攻击加值和施法关键属性。但除这些之外，该法术仍视为由你施展。戒指中的法术一经施展即消失，释放其原本占据的空间。</t>
  </si>
  <si>
    <t>通讯石</t>
  </si>
  <si>
    <t>要进行横跨科瓦雷大陆的远程即时通信，关键就在于西维斯家族的通信站网络。每个通信站都包含有至少一颗通讯石，它是由西伯瑞斯龙晶雕刻而成，其中嵌入了魔法徽记用以进行编号识别。如果你是一个持有抄录龙纹的侏儒，那么你就能触摸通讯石，耗费一个动作，用它来施展一个短讯术。法术的目标是另一颗通讯石，你需要知晓其位置，或是其徽记的识别编号。位于通讯石身周5尺范围内的生物都能听到该信息，如同他们是短讯术的目标一般。在西维斯通信站中，总有一个侏儒在通讯石旁边值班，接听可能传入的通讯，将其抄写下来发送给收件人。</t>
  </si>
  <si>
    <t>诸界之井</t>
  </si>
  <si>
    <t>这块丝绸般柔软的精致黑色布料折叠起来有手帕大小，展开时则为半径6尺的圆形。你可以用一个动作展开诸世界之井并把它放在坚实表面上，产生一扇通向另一个位面的双向传送门。每次诸界之井展开时，由DM决定它所连接的位面。你可以用一个动作抓住布料的边缘把它折叠起来，将传送门关闭。使用后，诸界之井 在1d8小时内将无法再次启动。</t>
  </si>
  <si>
    <t>遥远齿轮</t>
  </si>
  <si>
    <t>当你与该组件同调时，你获得+1智力豁免，并且在力量（威吓）检定中具有优势。·异怪同盟。你可以从多重位面的混沌之中召唤一个异怪为你服务。此项能力与法术召唤天界生物 Conjure Celestial相同，唯一区别是将法术中的天界生物替换为异怪。一旦你使用了遥远齿轮的这个能力，它在新一天前将无法被再次使用。·反常灾祸。你可以对施法距离内任意数量的生物释放灾祸术Bane（豁免DC15），持续时间1分钟。一旦你使用了遥远齿轮的这个能力，它在新一天前将无法被再次使用。·六位一体。当这件组件未被安装进位面游荡仪时，它的魔法可能会时断时续，或是会有无法预测的副作用，这由DM决定。</t>
  </si>
  <si>
    <t>灭龙拳</t>
  </si>
  <si>
    <t>这对镶钉皮拳套最初是为那些陆行的巨人打造，旨在用于对付天空中的龙类或是其他巨型捕食者。其上方雕刻着飞龙符文。佩戴这对拳套期间，你的徒手打击在击中时均会额外造成1d6点力场伤害。此外，每当你完成一次长休时，选择以下伤害类型之一：强酸、冷冻、火焰、闪电、或毒素。直至你完成另一次长休前，你获得选定伤害类型的抗性。激活符文Invoking the Rune。以一个附赠动作，你可以激活这对拳套上的符文来创造两只分别包裹在你双拳外侧的巨大灵体拳头。灵体拳头会模仿你的手部动作，也能将自己发射出去打击远处的敌人，并且不论是否击中都会在之后返回你的手上。灵体拳头将会存在1分钟，若你陷入 失能Incapacitated 它们也将提前消失。这对拳头存在期间，你在自己回合发动的徒手打击触及范围变为30尺；当你用徒手打击发动的借机攻击击中生物时，生物必须通过一次力量豁免（DC=8+熟练加值+你的力量属性调整值），若豁免失败将陷入 倒地Prone 状态。此符文被激活后，直到次日黎明为止都无法被再度激活。</t>
  </si>
  <si>
    <t>艾恩石（高等吸收）</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</si>
  <si>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颜色：淡紫与绿
类型：高等吸收
效果：你可以用你的反应使一个法术无效，该法术必须由你能看到的生物施展，只以你为目标且不超过8环。吸收合计50环的法术后，此艾恩石将耗尽力量，失去魔法并变为暗灰色。如果一个法术的环阶超出了此艾恩石剩余的吸收环数，则石头无法将其吸收。</t>
  </si>
  <si>
    <t>命令火元素戒指</t>
  </si>
  <si>
    <t>这枚戒指连接着四个元素位面之一，由DM决定或随机选择。着装这枚戒指时，你对来自戒指连接位面的元素发动攻击检定时具有优势，且它们对你发动的攻击检定具有劣势。另外，视戒指连接的位面不同，你还获得相应的属性（见下）。戒指有5发充能，每天黎明时恢复1d4+1发已消耗的充能。
你可以消耗2发充能对一名火元素施展“支配怪物Dominate Monster”。另外，你获得对火焰伤害的抗性。你可以说和理解火族语Ignan 。如果你维持与戒指同调期间参与杀死了一名火元素，则你额外获得以下属性：·你对火焰伤害免疫。·你可以利用戒指施展以下法术（消耗充能数在括号中注明）：“燃烧之手Burning Hands”（1充能）、“火球术Fireball”（2充能）、“火墙术Wall of Fire”（3充能）。</t>
  </si>
  <si>
    <t>闪光</t>
  </si>
  <si>
    <t>持用者用此魔法武器发动的攻击检定和伤害掷骰获得+2加值。持用此武器时，持用者的AC获得+2加值。</t>
  </si>
  <si>
    <t>抗法盾</t>
  </si>
  <si>
    <t>持握此盾牌时，你对抗法术和其他魔法效应所作的豁免检定具有优势，而对你发动的法术攻击检定具有劣势。</t>
  </si>
  <si>
    <t>龙王药水</t>
  </si>
  <si>
    <t>这个药水看起来像是液态的黄金，有一片色彩，宝石或金属龙的鳞片悬浮在其中。你喝下药剂之后，你变成一只成年龙，类型作为和鳞片来源的龙种类相同。变形持续一小时。任何你装备或持用的装备融入新形态或者散落在周围。在其期间内，你使用成年龙的游戏数据来代替你的游戏数据，但你保有你原本的语言，个性和记忆。你不能使用龙的变形能力，传奇特性或巢穴动作。在竞技场或短团中，龙王药水为非卖品。在竞技场或短团中，巨人之力药水为非卖品。</t>
  </si>
  <si>
    <t>星辰法袍</t>
  </si>
  <si>
    <t>这件黑色和深蓝为底色的长袍上点缀着白色或银色的星星。着装这件长袍时，你的豁免具有+1加值。长袍的前襟附近有六枚较大的星。着装这件长袍时，你可以用一个动作取下其中一颗并以之施展5环效应的“魔法飞弹Magic Missile”。每天黄昏时，1d6颗已消耗的星将重新出现在法袍上。着装这件长袍时，你可以用一个动作使你和你身上着装或携带的物件一起进入星界。直到你再用一个动作回到你原本所在的位面，此时你出现在之前占据的空间。如果该空间已被占据，则你出现在最近的未被占据空间。</t>
  </si>
  <si>
    <t>巨人之力腰带（霜巨人）</t>
  </si>
  <si>
    <t>巨人之力腰带共有六种，价格各有不同，分别对应六种巨人。提供不同的力量值和力量属性上限。霜巨人：力量+4，不能超过26。</t>
  </si>
  <si>
    <t>巨人之力腰带（火巨人）</t>
  </si>
  <si>
    <t>巨人之力腰带共有六种，价格各有不同，分别对应六种巨人。提供不同的力量值和力量属性上限。火巨人：力量+4，不能超过26。</t>
  </si>
  <si>
    <t>增强盾牌+3</t>
  </si>
  <si>
    <t>纯善护符</t>
  </si>
  <si>
    <t>这枚护符是至善的象征。主动接触到护符的非善良非邪恶生物受6d6点光耀伤害，邪恶生物则受到8d6点光耀伤害。如果这两类生物在自己回合结束时仍握持或携带该护符，则会再次受到等量伤害。善良的牧师或圣武士可以将纯善护符当作圣徽使用，持握或佩戴它时其法术攻击检定获得+2加值。该护符有7发充能。持握或佩戴它时，你可以用一个动作消耗1发充能并指定你周围120尺内地面上一个你能看见的生物。如果目标属于邪恶，则一道冒着火焰的裂隙将在它脚下打开。目标必须成功通过一次DC 20的敏捷豁免否则坠入裂隙，尸骨无存。裂隙随后将不留痕迹地关闭。充能耗尽后，护符将被摧毁，并化为闪着金光的尘埃。</t>
  </si>
  <si>
    <t>米捷装置</t>
  </si>
  <si>
    <t>创新是个危险追求，至少伊捷联盟对其痴迷程度已近走火入魔。他们设计了控制引导魔法的装置，作为预防实验出错的保护措施，该装置由皮革背带、弹性导管、玻璃气罐、金属薄片、米捷配件拼造而成，再置入金属外套。其中米捷是一种灌注魔力的合金。该物品重8磅。你可以在着装米捷装置时将它作为法器，还可以米捷装置施展你的职业法术列表中的法术或戏法，即使它不是已知法术或已准备法术，但该法术的环阶不能超过你在每个对应施法职业所能施展的最高环阶。举例来说，6级法师/2级圣武士虽然拥有4环法术位，但穿戴米捷装置后，依然只能施展3环法师法术和1环圣武士法术。施展非已知法术或未准备法术时，你仍需消耗法术位施法。施法结束前，你必须进行一次智力（奥秘）检定，DC=10+你施法消耗法术位环阶的两倍。若检定成功，你以正常方式施法、使用法术豁免DC与施法关键属性调整值；若检定失败，你释放一个不同的法术，从下方与你消耗法术位的环阶对应的列表中掷骰决定。若该法术位环阶为6环或更高，使用5环法术列表掷骰。施展非已知戏法时，上述智力（奥秘）检定DC为10，检定失败则戏法不产生任何效应。</t>
  </si>
  <si>
    <t>降怒王冠</t>
  </si>
  <si>
    <t>这根锯齿状的铁质头冠上有一枚刻印着仇敌符文的宝石。佩戴后，王冠将散发出苍白的光芒，它自佩戴者的怒火中汲取力量，转以恶怖惩戒佩戴者的对手。佩戴这顶王冠期间，当你向一个生物发起一次攻击检定，并成功命中时，你可以消耗并投掷一枚你未消耗的生命骰。生物将受到等同于你骰出数值点的心灵伤害。激活符文Invoking the Rune。以一个动作，你可以激活王冠上的符文以用其施展法术“恐惧术fear”；此法术不需要专注，且其持续时间改为1分钟。此符文被激活后，直到次日黎明为止都无法被再度激活。</t>
  </si>
  <si>
    <t>龙触法器（觉醒）</t>
  </si>
  <si>
    <t>这个物品可以是法杖、法球、护符、水晶或其他的精制物件。它通常包含有龙的翅膀、爪子、牙齿或鳞片的象形。
沉睡。你的先攻检定具有优势。当你持握这件法器时，它可以作为你施展所有法术的法器。
激活。激活法器具有沉睡状态的特性，它还获得了另一个特性，由激活它的宝库的主龙的族裔决定：色彩。每当你使用法术位施展一道造成强酸、冷冻、火焰、闪电或毒素伤害的法术时。投掷一个d6，你在这个法术的其中一个伤害掷骰上增加掷出的值。宝石。当你使用法术位施放一道法术时，你可以立即传送到距离你15尺内一处你能看见且未被占据的空间。金属。当一个你能看到的生物在你30英尺内进行豁免检定时，你可以使用你的反应使该生物在这次豁免检定上获得优势。
觉醒。觉醒的法器有沉睡和激活状态的特性，当你持握觉醒法器时，你可以使用它来施放特定的法术。一旦该物品被用来施放一道这个特性赠送的法术，直到下一个黎明之前它就不能再次被用于施展该法术。这些法术由使其觉醒的宝库主龙的族裔决定。星号表示本章前面出现的新法术。色彩。怪物定身术，莱姆束缚之霜宝石。拉瑞心灵链接，劳洛希姆心灵长枪金属。费茨本铂金盾，通晓传奇</t>
  </si>
  <si>
    <t>冰霜法杖</t>
  </si>
  <si>
    <t>持握这把法杖时，你对冷冻伤害具有抗性。这把法杖有10发充能。持握法杖时，你可以用一个动作并消耗1发或更多充能以施展以下法术之一：“云雾术Fog Cloud（1充能）”“冰风暴Ice Storm（4充能）”“冰墙术Wall of Ice（4充能）”“寒冰锥Cone of Cold（5充能）”。法杖每日黎明时恢复1d6+4发已消耗充能。当充能耗尽时，骰一次d20。如果骰值为1，则法杖将被摧毁且化为一滩水。</t>
  </si>
  <si>
    <t>凝晶年纪</t>
  </si>
  <si>
    <t>这颗蚀刻水晶球有柚子大小，随着内部杂乱的耀斑辐射不断轻声鸣响着。当你触摸水晶球时，你可以以与读写相同的速率往水晶球中储存信息或法术。水晶球在被找到时，包含了以下法术：“侦测思想Detect Thoughts”“智能壁垒Intellect Fortress”“拉瑞心灵连接Rary’s Telepathic Bond”“短讯术Sending”“心灵遥控Telekinesis”“塔莎心灵鞭Tasha’s Mind Whip”“谭森浮碟术Tenser’s Floating Disk”。你可以将其作为法术书，其法术与其他文字通过精神编排在水晶之中。你可以将其作为你法师法术的法器。如果“法师之手Mage Hand”“心灵之楔Mind Sliver”“传讯术Message”戏法并非你的已知戏法，那么你将它们加入你的已知戏法。水晶具有3发充能，且每天黎明时恢复1d3发已消耗的充能。可以通过以下方式消耗充能：如果你花费1分钟时间研究水晶球中的信息，你可以消耗1发充能来将你的一道已准备法术替换为书中的另一道法术。当你施展一道法师法术时，你可以消耗1发充能施展这道法术并无视语言成分、姿势成分和至多100gp的材料成分。</t>
  </si>
  <si>
    <t>武林盟主项链</t>
  </si>
  <si>
    <t>你获得十枚卓越骰。其中两枚只能用来发动游龙流战技，两枚只能用来发动摘星流战技，两枚只能用来发动开山流战技，两枚只能用来发动神机流战技，两枚只能用来发动混元流战技。</t>
  </si>
  <si>
    <t>飞毯</t>
  </si>
  <si>
    <t>你可以用一个动作说出让飞毯起飞或悬停的命令语。只要你在飞毯周围30尺内，它就会按照你的口令移动。飞毯可以载重400磅，每轮飞行60尺；或是载重800磅，每轮飞行30尺；载重超过800磅时，飞毯坠落。</t>
  </si>
  <si>
    <t>雷霆法杖</t>
  </si>
  <si>
    <t>该法杖可以用作一把魔法长棍持用，你用它发动的攻击检定和伤害掷骰获得+2加值。法杖具有以下属性。使用法杖的某一属性后，直到第二天黎明前其该属性都无法再次启动。电闪Lightning。当你用这把法杖以近战攻击命中目标时，你可以令目标受额外2d6点闪电伤害。雷鸣Thunder。当你用这把法杖以近战攻击命中目标时，你可以使法杖爆出一阵300尺内都清晰可闻的雷鸣。目标必须进行一次DC 17的敏捷豁免，失败则被震慑到你的下一回合结束。闪电击Lightning Strike。你可以用一个动作从法杖尖端射出一束宽5尺、长120尺的闪电。在闪电束路径上的生物必须进行一次DC 17的敏捷豁免，失败则受9d6点闪电伤害，成功则伤害减半。雷霆Thunderclap。你可以用一个动作使法杖发出在600尺内都清晰可闻的刺耳雷鸣。你周围60尺除你以外的生物必须进行一次DC 17的体质豁免，失败则受2d6点雷鸣伤害并耳聋1分钟。豁免成功的生物只受一半伤害且不会耳聋。雷电Thunder and Lightning。你可以用一个动作同时启动闪电击和雷霆两个特性。这样做不会消耗闪电击或雷霆的使用次数，只会消耗雷电的使用次数。</t>
  </si>
  <si>
    <t>禁魔锁链</t>
  </si>
  <si>
    <t>当你成为一个目标型法术的目标时，若该法术仅指定了你作为目标，你可以尝试辨认法术，辨认成功则该法术对你无效，并将此法术吸收在锁链中。之后你可以释放被吸收的法术，自己施展该法术一次。关于辨认法术的相关规则依然适用于你。禁魔锁链无法吸收范围型法术。一副禁魔锁链只能存储一个法术，且存储状态下，你无法再次对法术进行辨认和吸收。</t>
  </si>
  <si>
    <t>头骨盔</t>
  </si>
  <si>
    <t>着装这顶骷髅形状的头盔期间，你获得对冷冻、毒素和黯蚀伤害的抗性。此外，着装头盔期间，你可以用头盔施展法术“死神精魂spirit of Death”，而无需任何材料成分。此法术一经头盔施放，直到下次黎明前不能再次以此法施放该法术。</t>
  </si>
  <si>
    <t>朔风披风</t>
  </si>
  <si>
    <t>这件厚实的毛皮斗篷的褶边上，有着用银蓝色的针线缝纫着的霜冻符文。不论天气如何，斗篷的周遭永远都会旋转环绕着刺骨的寒风。穿着这件斗篷期间，你获得冷冻伤害的抗性，且当你在某个生物周围5尺范围内移动时，你可以驱使这件斗篷的寒冷之风席卷那个生物。那个生物必须通过一次DC14的敏捷豁免，若豁免失败将受到1d6点冷冻伤害并陷入 倒地Prone 状态，若豁免成功则在当前回合不再受到斗篷的寒冷之风的影响。每个生物每回合只能被这件斗篷影响一次。激活符文Invoking the Rune。以一个动作，你可以激活斗篷上的符文以用其施展法术“雪雨暴sleet storm”。当你用这件斗篷施展这个法术时，法术区域内的地形对你来说视为非困难地形，你也可以看穿这片暴雪即无视法术的重度遮蔽区域通常会给你带来的减益。此符文被激活后，直到次日黎明为止都无法被再度激活。</t>
  </si>
  <si>
    <t>夸力许装置</t>
  </si>
  <si>
    <t>这个物品乍一看是个重达500磅的密封大铁桶。成功通过一次DC 20的智力（调查）检定后可以发现铁桶上有一个隐藏的把手。扳动把手将打开一扇舱门，其大小可以让两名中型或更小体型的生物爬入。舱体尽头是十个拉杆。通常拉杆的位置都在中间，且可以向上推或向下拉。特定的拉杆被拉动时，装置将变形成类似巨大龙虾的外形。夸力许装置是一个大型物件，其资料如下：护甲等级：20；生命值：200；速度：30尺，游泳30尺（如果装置的腿和尾巴未展开，则都为0尺）；伤害免疫：毒素，心灵。夸力许装置用作交通工具时需要一名驾驶员。装置的舱门闭合时，舱内属于气密和水密状态。舱内空气可供一个生物呼吸10小时，其总量由舱内生物平摊。此装置可以在水面上漂浮，也可以潜入至多900尺深的水底。达到更深水域时，它将因高压而每分钟承受2d6点钝击伤害。舱内的生物可以用一个动作同时推或拉至多两个拉杆。每次操作之后，拉杆自动回到中间位置。拉杆的功能如下表所示（从左到右）：</t>
  </si>
  <si>
    <t>虫群法杖</t>
  </si>
  <si>
    <t>虫群法杖有10发充能，且每天黎明时恢复1d6+4发已消耗的充能。当充能耗尽时，骰一次d20。如果骰值为1，一群昆虫将吞噬法杖，将其摧毁。法术Spells。持握法杖时，你可以用一个动作并消耗若干充能以施展以下法术：召唤动物Summon Animals（3充能，仅限虫类）、疫病虫群insect plague（5充能）。虫云Insect Cloud。握持法杖时，你可以用一个动作并消耗1发充能令一群无害的昆虫布满你周围30尺半径的空间，效应持续10分钟。持续时间内，这片区域被除你以外的生物视为重度遮蔽。虫群以你为中心随你移动。一阵时速超过10里每小时的风可以驱散虫群，终止虫云的效应。</t>
  </si>
  <si>
    <t>极巨斧</t>
  </si>
  <si>
    <t>这把魔法巨斧的基础伤害骰，不是1d12而是1dX。X为使用者的力量值。</t>
  </si>
  <si>
    <t>铭记药水（9环）</t>
  </si>
  <si>
    <t>龙皮腰带+3</t>
  </si>
  <si>
    <t>庇护权杖</t>
  </si>
  <si>
    <t>持握这把权杖时，你可以用一个动作启动它。权杖立刻将你和你能看到的至多199名自愿的其他生物传送到存在于异位面的一处乐园福地。你可以自行定义乐园的景观。它可以是宁静的花园、迷人的林间空地、热闹的酒馆、宽阔的宫殿、热带的海岛、奇妙的嘉年华会，或是任何你能想象到的美景。无论环境如何，乐园都有足够的食物和水供访客享用。除食水之外，乐园内的任何东西都只能在乐园的异位面空间中存在。例如，在乐园的花园中采的花在被带出异位面空间时将消失。在乐园中每度过1小时，每名访问者将如使用了1枚生命骰一般恢复生命值。虽然时间正常流动，但乐园中的生物并不会老化。访问者可以在乐园停留的时间为200天除以生物数量（向下取整）。当到达时限或你用一个动作解除权杖效应时，所有访客将被送回你权杖启动前的位置或是该位置最近的未被占据空间。此后经过10日庇护权杖才能再次启动。</t>
  </si>
  <si>
    <t>传送头盔</t>
  </si>
  <si>
    <t>这顶头盔有3发充能。着装这顶头盔时，你可以用一个动作并消耗1发充能施展“传送术Teleport”。每天黎明时头盔将恢复1d3发已消耗的充能。</t>
  </si>
  <si>
    <t>高等解除石</t>
  </si>
  <si>
    <t>这个光滑的彩虹色卵形石头可以被扔到至多20尺远的地方，在冲击下爆炸，创造一个10尺半径的球体范围，石头随即被摧毁。范围内所有法术被终止（无法被“解除魔法”解除的法术不受影响）。</t>
  </si>
  <si>
    <t>异能塑像（金丝雀）</t>
  </si>
  <si>
    <t>灵马哨笛（鹏鸟）</t>
  </si>
  <si>
    <t>吸收权杖</t>
  </si>
  <si>
    <t>持握这把权杖时，你可以用反应来吸收一个仅以你为目标（而非影响你所在的区域）的法术。被吸收的法术不产生效应，但其能量（而非法术本身）被权杖吸收。这股能量的环阶与该法术被施展时的环阶相同。吸收权杖从制成到毁灭只能储存共50环的能量。吸收满50环能量后，它将无法再吸收法术。如果权杖无法吸收某个以你为目标的法术，则该法术不受权杖影响。与吸收权杖同调时，你将了解到权杖已经吸收过多少能量，以及它现时储存了多少能量。如果你是一名施法者，当你持握吸收权杖时，你可以将权杖中储存的能量转化为法术位并用以施展你自己准备或知晓的法术。你可以转化至高5环的法术位，但不能高于你拥有的最高环法术位。你仍如通常一般施法，只是消耗权杖储存的能量代替自身法术位。例如，你可以用权杖储存的3环能量代替自身的一个3环法术位。发现的吸收权杖 通常已经储存了1d10环能量。无法继续吸收能量且储存的能量已经用尽的吸收权杖将变为普通物品。</t>
  </si>
  <si>
    <t>司寇雷乌斯的宝珠</t>
  </si>
  <si>
    <t>据说，这颗宝珠被司寇雷乌斯的智慧与力量灌注，它带有彩虹水晶的纹路，仿佛由内向外发着光。这颗宝珠直径8寸，重达8磅，使它对于石巨人来说是一个手掌大小的饰品，但对于中等体型的生物显得有些笨重了。当你持握着这颗宝珠，你可以将其作为你的施法法器，并获得如下增益：充足成分Abundant Components。这颗宝珠有3发充能，并且在每天黎明时恢复所有已消耗的充能。当你在持握这颗宝珠施法时，你可以消耗至多3发充能，来忽视法术有价值的材料成分中，所有价值不高于消耗充能数×300gp的材料。敏锐心智Astute Mind。你的专注豁免获得+2加值。神性视觉Divine Sight。你获得120尺黑暗视觉，可以看穿魔法性的黑暗。</t>
  </si>
  <si>
    <t>愚者之刃</t>
  </si>
  <si>
    <t>这件武器看上去很普通，但其中蕴藏着的强大幻术可以让使用者巧妙地迷惑对手。你使用这件魔法武器进行的攻击检定和伤害掷骰获得+2加值。你持握这把剑期间，获得以下增益：愚者佯攻Fool’s Feint。以一个附赠动作，你可以选择一个距离你5尺以内的生物作为你的目标发动佯攻。直到你的下一个回合开始为止，你对目标的攻击检定具有优势。此附赠动作一经使用，直到下次黎明前不能再次使用。转向Misdirect。当距你60尺内的一个生物以你为目标进行一次攻击检定时，你可以用一个反应迫使该生物进行一次DC15的智力豁免。若其豁免失败，则此次攻击会改为以攻击者触及内的你选择的另一个生物为目标。此反应一经使用，直到下次黎明前不能再次使用。</t>
  </si>
  <si>
    <t>贝拉希拉的眼魔王冠</t>
  </si>
  <si>
    <t>这顶共生体王冠由浓淡相间的紫色石块雕刻而成，其上有十个茎状凸起，顶部装饰着宝石，看起来像是眼魔的眼梗。要与这件奇物同调，你必须在同调期间将它一直戴在头上，让皇冠里隐藏着的触手钻入你的头皮，扎根于你的颅骨之中。戴着这顶王冠时，你能看穿120尺范围内的黑暗，无论是魔法的还是非魔法的。法术。这顶王冠拥有10发充能。戴着它时，你可以使用一个动作，消耗一定数量的充能来施展以下法术（法术豁免DC=16）：魅惑人类（1发充能）、解离术（6发充能），恐惧术（3发充能），死亡一指（7发充能），石化术（6发充能），人类定身术（2发充能），衰弱射线（2发充能），睡眠术（1发充能），缓慢术（3发充能），心灵遥控（5发充能）。王冠每日清晨将会回复1d6+3发已经消耗的充能。共生体。完成同调后，王冠无法被脱下，你也不能主动终止与王冠的同调。如果你成为一个能结束诅咒的法术的目标，那么你与王冠的同调自动结束，它将会与你分离。这些王冠是由异变魔贝拉希拉制作的，当它与王冠位于同一个位面时，贝拉希拉可以通过这些眼梗来进行观察。</t>
  </si>
  <si>
    <t>无限法典</t>
  </si>
  <si>
    <t>无限法典是于奥法纪制作的的银制封面，镀金内页法术书。自灾祸之战结束以来，人们只找回了其中一本。这本有着无限页数的书厚3寸，宽8寸，长12寸，重3磅。休眠。绝大部分的书页是空白的。但于书的第一页上记录着如下法术：警报术，反魔法力场，毕格比之手，枯萎术，魅惑人类，困惑术，操控天气，唤起死灵，侦测思想，变巨/缩小术，恐惧术，预警术，气化形体，守卫刻纹，通晓传奇，李欧蒙小屋，群体暗示术，假象术，迷踪步，魔登肯忠犬，虹光喷射，衰弱射线，无声幻影，传送术，雷鸣波。你可以将无限法典作为你的法术书使用，并像往常一样在其内页上抄录法术。在你使用无限法典准备法师法术时，你可以在原有的基础上多准备一个法术。激活。当无限法典处于激活状态时，将额外获得如下特性：·你持有这本法术书时，在对抗法术与魔法效应的豁免上具有优势。·在你使用无限法典准备法师法术时，你可以额外再准备一个法术。超频。当无限法典处于超频状态时，将额外获得如下特性：·你可以于每次长休之后使用两次奥术回想特性。·在你使用无限法典准备法师法术时，你可以额外再准备一个法术。</t>
  </si>
  <si>
    <t>命令气元素戒指</t>
  </si>
  <si>
    <t>这枚戒指连接着四个元素位面之一，由DM决定或随机选择。着装这枚戒指时，你对来自戒指连接位面的元素发动攻击检定时具有优势，且它们对你发动的攻击检定具有劣势。另外，视戒指连接的位面不同，你还获得相应的属性（见下）。戒指有5发充能，每天黎明时恢复1d4+1发已消耗的充能。
你可以消耗2发充能对一名气元素施展法术“支配怪物Dominate Monster”。另外，坠落时你每回合只会下降60尺，也不会受到坠落伤害。你可以说和理解风族语Auran。如果你维持与戒指同调期间参与杀死了一名气元素，则你额外获得以下属性：·你获得对闪电伤害的抗性。·你获得等同于步行速度的飞行速度并且可以悬浮。·你可以利用戒指施展以下法术（消耗充能数在括号中注明）：“连锁闪电Chain Lightning”（3充能）、“造风术Gust of Wind”（2充能）、“风墙术Wind Wall”（1充能）。</t>
  </si>
  <si>
    <t>面纱法球</t>
  </si>
  <si>
    <t>这枚由缟玛瑙制成的球体被悬挂在一根铁链上，球体表面雕刻着螺旋状的深凹槽。当你携带法球时，将获得如下增益效果：·你的感知属性和感知属性上限均提升2。·你获得60尺的黑暗视觉，如果你已拥有黑暗视觉，则在原基础上提升60尺。·你在寻找暗门和暗道的感知检定上拥有优势。诅咒。与这个法球同调的生物将受到其诅咒的影响，只要诅咒还生效，你总会把法球放在触手可及的地方，不愿与它分开。所有非魔法火焰在距离你30尺半径范围内自动熄灭，你所造成的火焰伤害减半。</t>
  </si>
  <si>
    <t>浪客斗篷</t>
  </si>
  <si>
    <t>这件深色的、带兜帽的厚布斗篷充斥着秘密和欺瞒的魔法。着装它时，你可以获得以下增益：黑暗视觉Darkvision。你获得60尺黑暗视觉。如果你已经拥有黑暗视觉，它会将你的黑暗视觉范围增加60尺。阴影移动Move in Shadows。若你身处处于微光光照或黑暗中，你便可以用一个附赠动作，将你和你所穿着或携带的任何物品一起传送到30尺内的可见未被占据的微光光照或黑暗空间中。随后直至你本回合结束前，你下一次发动近战攻击时具有优势。刻意树敌Willful Enmity。你可以从斗篷施展“敌意术antagonize”。此法术一经斗篷施放，直到下次黎明前不能再次以此法施放该法术。</t>
  </si>
  <si>
    <t>渗透者之匙</t>
  </si>
  <si>
    <t>这把秘银的万能钥匙在奥法纪制造，原料中包含了12名因尝试盗窃魔法物品被处死的盗贼大师的血。休眠。当渗透者之匙处于休眠状态时，将获得如下特性：开锁时，渗透者之匙可用于替代盗贼工具。使用渗透者之匙开锁的角色视为拥有巧手技能的熟练项，并于开锁的检定上有优势。持握这把钥匙时，你的脚步声将显得模糊不清，你在轻声移动的隐匿检定上拥有优势。激活。当渗透者之匙处于激活状态时，将额外获得如下特性：·持有这把钥匙时，你可以使用一个附赠动作将钥匙变形为一把魔法匕首，或将魔法匕首变回钥匙的样子。当渗透者之匙处于匕首形态时，你在使用此匕首发动攻击检定与伤害掷骰时获得+1加值。在你使用它发动远程攻击后，它将自动飞回你的手中。·持有这把钥匙时，你可以用一个动作施放如下法术中的一个：变身术，隐形术，敲击术或行动无踪。两次黎明间，只能使用渗透者之匙施放上述法术各一次。超频。当渗透者之匙处于超频状态时，将额外获得如下特性：·你可以用一个附赠动作，将钥匙与小于5尺厚的墙面，地面或天花板接触，并在其上创造出一个魔法开口。你可以自行决定开口的大小，但它的长度和宽度不能超过10尺。这个开口只会在渗透者之匙穿过它抵达另一端后消失。当一个生物在魔法开口闭合时位于开口中，它将被安全地转移到最近的未被占据空间。此后直到下一次黎明前，该特性都无法再次使用。·持有这把钥匙时，你可以用一个动作施放如下法术中的一个：任意门，气化形体或假象术。两次黎明间，只能使用渗透者之匙施放上述法术各一次。</t>
  </si>
  <si>
    <t>命运主宰之牌+3</t>
  </si>
  <si>
    <t>异界精粹碎晶（混乱）</t>
  </si>
  <si>
    <t>这块闪烁着的水晶蕴含着一处外层位面的精粹。作为一个动作，你可以将碎晶附上一件微型物件（如一把武器或一块珠宝）或摘下。当同调结束时它会掉落下来。当你持握或穿戴碎晶时，你可以将其作为法器使用。
根据异界精粹碎晶晶表格来决定碎晶的精粹类型和属性。当你持握或穿戴碎晶，并在一道法术上添加一种超魔效果，消耗了至少1点术法点时，你可以应用该属性。
混乱：选择一个受到此法术伤害的生物。目标在你的下个回合开始前进行的攻击检定、属性检定具有劣势。</t>
  </si>
  <si>
    <t>元素捕网（6d6）</t>
  </si>
  <si>
    <t>金穗琴</t>
  </si>
  <si>
    <t>这把黄金制的竖琴上雕刻着一名年轻的云巨人女性，似乎描绘的是神祇“伊兰尼丝Iallanis”的形象。当有生物靠近到这把竖琴周围5尺内时，这把乐器会活动起来并开口说话，一边唱着歌，一边弹奏着自己。每当你尝试与竖琴同调时，你都必须先通过一次DC15的智力（表演）检定或一次DC20的感知（说服）检定，以此来让竖琴认同你的价值并同意与你同调。如果你失败于这次检定，直到次日黎明前你都无法再尝试与这把竖琴进行同调。而当你成功与竖琴的同调后，它会自动缩放至与你身形适配的大小。忠诚之歌Stalwart Song。同调竖琴期间，每当你进行智力（表演）检定或感知检定时，你都可以将掷骰中9或更低的骰值视为10。丰饶盛宴Feast of Plenty。你可以花费10分钟时间来演奏这把竖琴，以此用其施展法术“英雄宴heroes' feast”。此项能力一旦被使用，直到1d10+10天后才能被再次使用。抚慰旋律Soothing Melody。以一个动作，你可以使用竖琴来施展法术 安定心神calm emotions （豁免DC19）。此外，只要你为用竖琴施展的此法术保持专注，其持续时间就可以达到至多1小时。此项能力可以被使用五次，在每日黎明时分，它将恢复全部的使用次数。智能Sentience。竖琴是一件混乱善良的智能魔法物品。它的智力为13，感知为15。它具有120尺的听觉与黑暗视觉感官。竖琴能够说、读和理解通用语与巨人语，同时也能够与持有者通过心灵感应进行交流。竖琴的个性张扬且浮夸，它十分骄傲于自己琴弦所奏出的音质。顺带一提，如果它的身长不足6尺，它就会不断叹息，不满于自己的短小身板。（译注：竖琴大小跟着同调者变化，因此换言之就是委婉的对同调者身型感到不满。）</t>
  </si>
  <si>
    <t>秘迹法杖</t>
  </si>
  <si>
    <t>这根光滑的灰色木棒上刻着无数的符文。该法杖有10充能，每天黎明重新获得1d6+4充能。如果你用完最后一发充能，骰一个d20。若骰出1，则这根法杖变为灰尘，被摧毁了。法术。当你持杖时，你可以使用一个动作，消耗2或更多的充能，来施放下列的法术之一：“命运宠儿Fortune’s Favor（2充能）”“脉冲波动Pulse Wave（3充能）”“引力裂沟Gravity Sinkhole（4充能）”。新性能。当你持杖时，若你在一个仅针对你的法术的豁免检定中失败，你可以把此次失败的豁免改为成功。这个属性直到第二天黎明不能再次使用。</t>
  </si>
  <si>
    <t>法术瓶</t>
  </si>
  <si>
    <t>这个瓶子在同一时间只能储存一道最多五环的法术，发现时储存了1d6-一环的法术（由DM选择法术，0表示瓶子是空的）。一个旋转的蓝色蒸汽充满了瓶子，它包含着一个咒语。当瓶子是空的时候，任何生物都可以通过在施法的时候接触它来施展一环到五环的魔法。这个咒语除了储存在瓶子里外没有其他效果。当你拿着瓶子的时候，你可以使用储存在瓶子里的魔法。该法术使用原施法者的施法等级、法术豁免DC、法术攻击加值和施法能力，但其他方面视为由你施法。一旦法术被施展，瓶子就空了。如果你拿着空瓶子，当你看到一个生物在你周围60尺范围内施法时，你可以以一个反应动作打开瓶子，并试图打断这个咒语。如果该生物正在施放一个3级或更低等级的法术，该法术没有效果，并且它被储存在了瓶子里。如果它施展的是4级或更高的法术，进行一次智力检定。DC=10+法术等级。一旦成功，这个咒语就没有效果了，它被储存在瓶子里。</t>
  </si>
  <si>
    <t>虔信护符+3</t>
  </si>
  <si>
    <t>月镰+3</t>
  </si>
  <si>
    <t>旅人杖</t>
  </si>
  <si>
    <t>该法杖可以用作一把魔法长棍，你用它发动的攻击检定和伤害掷骰获得+1加值。持握法杖时，你发动的法术攻击检定获得+1加值。该法杖有10发充能。持握法杖时，你可以用一个动作消耗1发或更多充能从旅人杖施展以下法术：“放逐术Banishment（4充能）”“闪现术Blink（3充能）”“迷踪步Misty Step（2充能）”“塑石术Stone Shape（4充能）”“传送术Teleport（7充能）”。法杖每天黎明时可以恢复1d6+4发已消耗的充能。当充能耗尽时，骰一次d20。若骰值为1则法杖将永远消失。</t>
  </si>
  <si>
    <t>尤瑞艾莉之庇护</t>
  </si>
  <si>
    <t>这面闪闪发光的黄铜盾牌上刻有传奇美杜莎德鲁伊，尤瑞艾莉的浮雕。持握这面盾牌期间，你可以获得以下好处：尤瑞艾莉的祝福Blessing of Euryale。你获得毒素伤害的抗性，且你免疫石化状态。石化纹章Petrifying Heraldry。以一个附赠动作，你可以让盾牌的正面充满美杜莎的石化魔法，使浮雕的眼睛发出明亮的光芒。选择一个距你30尺内的可见生物。该生物必须成功通过一次DC20的体质豁免，豁免失败者的肉体将变得生硬并因此而受到束缚。被束缚的生物必须在其下一回合开始时再进行一次DC20的体质豁免。如果豁免失败，该生物将被石化24小时。豁免成功者结束此效应赋予的束缚。此附赠动作一经使用，直到下次黎明前不能再次使用。施法Spellcasting。持握盾牌时，你可以用一个动作来施展以下法术之一：次级复原术lesser restoration、生物定位术locate creature、木遁术transport via plants。每种法术一经盾牌施展，在下个黎明到来之前不能再用此法施展。</t>
  </si>
  <si>
    <t>增强武器+3</t>
  </si>
  <si>
    <t>神功绑带+3</t>
  </si>
  <si>
    <t>修道院护符+3</t>
  </si>
  <si>
    <t>天生武器护符+3</t>
  </si>
  <si>
    <t>复鳞饰物（神化）</t>
  </si>
  <si>
    <t>这个饰物可以是珠宝，斗篷或其他可穿戴的装饰品。它似乎是由龙的鳞片、牙齿或爪子塑造而成，或者是包含有这些形状的图像。 
沉睡。你在为避免陷入魅惑或恐惧，或者结束这些状态所做的的豁免检定中具有优势。
激活。你在AC上获得+1加值，并且你不会魅惑或恐惧。此外，你所选择的30尺内的每一个生物在为避免陷入魅惑或恐惧，或者结束这些状态所做的豁免检定中具有优势。
觉醒。觉醒的饰物有激活状态的特性。此外，当你受到使饰物觉醒的宝库主龙的吐息武器的伤害类型的伤害时，你可以用你的反应来免受这次伤害，并且你恢复等同于你原本应受的伤害数值的伤害。一旦这项特性被使用，直到下一个黎明之前它不能被再次使用。
神化。神化的饰物具有激活和觉醒状态的特性。此外，当你佩戴这个饰物时，你获得等同于步行速度的飞行速度，并且可以悬浮。当你以这种速度飞行时，你的背后出现幽灵般的龙翼。</t>
  </si>
  <si>
    <t>堕影冥界碎晶</t>
  </si>
  <si>
    <t>这块黯淡冰冷的水晶摸起来如铅般沉重，满溢着堕影冥界的绝望。作为一个动作，你可以将碎晶附上一件微型物件（如一把武器或一块珠宝）或摘下。当同调结束时它会掉落下来。当你持握或穿戴碎晶时，你可以将其作为法器使用。当你持握或穿戴碎晶，并在一道法术上添加一种超魔效果，消耗了至少1点术法点时，你可以暂时诅咒一个该法术的目标生物：选择一项属性，直到你的下个回合结束前，目标生物在该属性的属性检定和豁免检定上具有劣势。</t>
  </si>
  <si>
    <t>防御者</t>
  </si>
  <si>
    <t>使用此魔法武器发动的攻击检定和伤害掷骰获得+3加值。你在每个自己回合里第一次使用此剑攻击时，可以选择将此剑的加值全部或部分转移到你的护甲等级中，而非用于本回合的任何攻击。例如，你可以将攻击检定和伤害掷骰的加值降低到+1而在AC上获得+2加值。加值改变持续到你的下一回合开始。你必须握持此剑才能获得它提供的AC加值。</t>
  </si>
  <si>
    <t>湮灭之球</t>
  </si>
  <si>
    <t>这个2尺直径的黑色球体是多元宇宙中的一个空洞，由一个围绕在它周围的魔法场维持稳定。湮灭之球会毁灭任何穿过它或被它穿过的物质。而神器除非标注了易受湮灭之球影响，否则可以不受影响的穿过球体。其它接触到球体但未被完全毁灭或吞噬的东西都将受到4d10点力场伤害。除非被人控制，湮灭之球总是保持静止。如果你在一个未被控制的湮灭之球周围60尺内，你可以用一个动作进行一次DC 25的智力（奥秘）检定。如果检定成功，你可以让之球向一个你选择的方向移动尺数等于5×你的智力调整值的距离（至少5尺）。如果检定失败，则湮灭之球向你移动10尺。如果之球进入某名生物占据的空间，则该生物必须成功通过一次DC 13的敏捷豁免以避开球体，失败则受4d10点力场伤害。你可以尝试从另一名生物处夺取湮灭之球的控制权。你和该生物进行智力（奥秘）对抗，胜者将获得球体的控制权并可以如常的操纵它移动。如果湮灭之球与位面传送门（如“异界之门Gate”制造的传送门）或是异位面空间（如次元洞portable hole内部）接触，则DM按下表决定发生的事件：</t>
  </si>
  <si>
    <t>异界之门魔方</t>
  </si>
  <si>
    <t>这个棱长3寸的立方体散发着明显的魔法能量。立方体的六个面分别对应六个位面，其中之一是物质位面其他则由DM决定。你可以用一个动作按下立方体的某个面以施展法术“异界之门Gate”，并打开连接对应位面的传送门。或者，你可以用一个动作按两次立方体的某个面来施展法术“异界传送Plane Shift”，以将你的目标传送到对应位面。立方体有3发充能，每次使用都会消耗1发充能。它可以在每天黎明时恢复1d3发充能。</t>
  </si>
  <si>
    <t>奥术火炮</t>
  </si>
  <si>
    <t>这门附加魔法的火炮不需要常规弹药，也不需要装填。使用这门火炮瞄准目标和发射各需要一个动作。火炮发射后，必须等待5分钟才能再次发射。
发射这门火炮的生物将从下列效应中选择一个，作为火炮所造成的效应。
强酸喷射。火炮射出酸液，并覆盖一处300尺长，5尺宽的线状区域。该区域内的每个生物都必须进行一次dc15的敏捷豁免，豁免失败者将受到22（4d10）的强酸伤害，豁免成功则伤害减半。此外，敏捷豁免失败的生物在它每回合开始时受到11（2d10）的强酸伤害。该生物可以使用一个动作，并使用一品脱或以上的水洗落身上的酸液以终止此效应。
    烈焰喷射。火炮射出烈焰，并覆盖一处300尺长，5尺宽的线状区域。该区域内的每个生物都必须进行一次dc15的敏捷豁免，豁免失败者将受到33（6d10）的火焰伤害，豁免成功则伤害减半。此外，区域内所有未被持有或穿戴的易燃物品都将被点燃。
    冰霜弹。火炮对1200尺内的一个可见位置射出一颗冰霜弹，冰霜弹在抵达目标点后爆炸，目标点周围30尺球状区域内的每个生物都必须进行一次dc15的体质豁免，豁免失败者将受到22（4d10）的寒冷伤害，并在下一分钟内速度减少10尺。豁免成功则伤害减半，速度不受影响。此外，速度减少的生物在其每回合结束时可以再进行一次体质豁免。如果豁免成功，则该目标身上的该效应终止。
    闪电弹。火炮对1200尺内的一个可见位置射出一颗闪电弹，闪电弹在抵达目标点后爆炸，目标点周围20尺球状区域内的每个生物都必须进行一次dc15的敏捷豁免，豁免失败者将受到33（6d10）的闪电伤害，豁免成功则伤害减半。穿戴金属质护甲的生物在进行此豁免时有劣势。
    毒素喷射。火炮喷出毒气并覆盖一处60尺的锥状区域。该区域内的每个生物必须进行一次dc15的体质豁免，豁免失败者将受到22（4d10）的毒素伤害，并中毒1分钟。豁免成功则伤害减半，不会中毒。中毒的生物在其每回合结束时可以再进行一次体质豁免。如果豁免成功，则该目标身上的中毒状态终止。</t>
  </si>
  <si>
    <t>秽暗之书</t>
  </si>
  <si>
    <t>维度环</t>
  </si>
  <si>
    <t>当你与该组件同调时，你获得+1力量豁免。当你与维度环同调后，你获得范围60尺的黑暗视觉。如果你已经拥有黑暗视觉，就在原有范围上增加30尺。·维度隐匿。你可以使用一个附赠动作，使你的身体在物质世界中隐匿1分钟。此时间内你在试图躲藏时做出的敏捷（隐匿）鉴定获得优势; 同时，对你发动的攻击检定承受劣势。一旦你使用了维度环的这个能力，它在新一天前将无法被再次使用。·空间折叠。选择在你视野内，处在你半径60尺内的一处空间（无需使用动作），在你的回合结束前该空间视为在你的5尺范围内。你可以不触发借机攻击，立刻移动至该空间；你也可以将该空间内的物体或生物视作在你身旁并进行互动（包括对空间内的生物发动近战攻击）。一旦你使用了维度环的这个能力，它在新一天前将无法被再次使用。·六位一体。当这件组件未被安装进位面游荡仪时，它的魔法可能会时断时续，或是会有无法预测的副作用，这由DM决定。</t>
  </si>
  <si>
    <t>灵马哨笛（梦魇）</t>
  </si>
  <si>
    <t>华丽腰带</t>
  </si>
  <si>
    <t>这个闪闪发光的金属腰带给人力量和权柄。着装该腰带时，你的每一项属性值+2，不能超过24。//多种不同的改变属性的能力和物品同时使用时，首先计算持续时间为立即的效果（属性书本、升级和专长给予的属性提升），然后计算持续时间为永久的效果（永久型装备），最后计算持续时间不为永久的效果（法术和药水带来的属性临时变更）。举例来说，一个22力量的角色通过阅读“健体手册”，变为24力量。此时他再穿戴“食人魔力量护手”便没有效果了。</t>
  </si>
  <si>
    <t>真实视觉护目镜</t>
  </si>
  <si>
    <t>着装这副透明护目镜时，你具有60尺真实视觉。</t>
  </si>
  <si>
    <t>雨云宝冠</t>
  </si>
  <si>
    <t>这件黄铜头冠的设计看上去像是被许多云朵环绕着，一枚铭刻着云雾符文的深蓝色石头镶嵌在它的正中央。佩戴这件头冠期间，你不会因为坠落而受到任何伤害。此外，以一个附赠动作，你和你穿着与携带的全部物品将被一起传送至周围15尺内的一处未被占据的、你可见的空间内你再度出现时，将从一片闪闪发光的小云朵之中蹦出。激活符文Invoking the Rune。以一个动作，你可以激活头冠上的符文以变为云化形态。这一形态的变化将持续1分钟，如果你陷入 失能Incapacitated 状态或你主动取消它（无需动作），它会提前结束。处于云化形态期间，你将获得60尺的飞行速度，你还将获得钝击、穿刺、与挥砍伤害的抗性。此符文被激活后，直到次日黎明为止都无法被再度激活。</t>
  </si>
  <si>
    <t>吟游诗人乐器（安斯翠瑟竖琴）</t>
  </si>
  <si>
    <t>幻想杀手</t>
  </si>
  <si>
    <t>幻想杀手以骨为箭、革为羽毛、蜡则为箭柄——但不是普通的蜡，是血肉制成的尸蜡。外表看起来就像泥色的蜡。尖端分支成了五条扭曲的叉子——如同一只想要抓住什么的手。幻想杀手被发射后，会在落点展开一个半径5尺的反魔场，持续1分钟。如果命中了生物或物件，这个反魔场会跟随目标移动。1分钟后，幻想杀手失去其魔法效力。</t>
  </si>
  <si>
    <t>愈炉长弓</t>
  </si>
  <si>
    <t>这把象牙制的长弓上镌刻着西亚缇的祷言，被镀金的麦穗与鹿角雕刻缠绕。你在使用这把武器进行的攻击检定和伤害骰上具有+3加值。如果你没有装载箭矢，这把弓会在你拉动弓弦时自动地制造一发魔法箭矢。以这种方法被创造的箭矢将在命中目标或失手的瞬间消失。弓具有8发充能，且每天黎明时恢复 1d4+1发已消耗的充能。你持握它时，可以通过以下方式消耗充能：治愈箭Curative Arrow。当你使用这把弓执行攻击动作时，你可以消耗一发充能以一支炽热的治愈箭替换你的其中一次攻击（可以消耗多发充能，替换一个攻击动作内的多次攻击）。箭矢会自动射中一名由你选择的150尺内的生物。随后，那名生物可以消耗并投掷它的一枚生命骰，生命值回复投掷结果加上你的感知调整值（最小为+1）的数值。如果那名生物没有未被使用的生命骰，这次攻击将会被浪费，你在一回合只能使用一次治愈箭。施法Spellcasting。当持握这把弓时，你可以使用一个动作以消耗1发或以上的充能，并从它施放下列其中一个法术：造粮术create food and water（1发充能）、守护之链warding bond （2发充能）、信仰守卫guardian of faith （3发充能）。</t>
  </si>
  <si>
    <t>涌潮者三叉戟</t>
  </si>
  <si>
    <t>你用这把魔法三叉戟发动的攻击检定与其伤害掷骰具有+2加值。此外，若你身处于水下，你用这把武器发动的攻击检定将具有优势。这把三叉戟具有3发充能，你可以消耗1发充能用其施展“操控水体Control Water”或是消耗3发充能用其施展“海啸术Tsunami”。这把三叉戟每日黎明时分恢复1d3发已消耗的充能数。在《盐沼幽魂》《海国战役》模组中，涌潮者三叉戟的价格提高为46000gp。</t>
  </si>
  <si>
    <t>月刃</t>
  </si>
  <si>
    <t>在所有精灵制造的魔法物品当中，最有价值也最受严格保护的就是月刃。在远古时期，几乎每个精灵贵族家族都有这样一柄长剑。几个世纪以来，一些月刃 已经销声匿迹，其魔法也随着家族一起消失。还有一些则伴随其持有者消失在执行伟大任务的路上。因此，只有很少月刃 被保留下来。月刃在家族中随着辈分传递。它会自己选择其持有者并且会一直忠于其持有者。持有者死亡时，其继承权将传递给其后代。如果没有一个足够强大的后代，则月刃会自行休眠。它平时会像普通长剑一样，直到一个足够强大的灵魂找到它，并需求它的力量。一柄月刃同一时间只会侍奉一个主人。它的同调时需要在精灵统治者的王宫中，或在精灵神的神殿中执行一项特殊仪式才能完成。月刃不会侍奉他认为懦弱、古怪、堕落或不想护卫精灵族的主人。如果一柄月刃拒绝了你，那你在接下来的24小时内所进行的属性检定、攻击检定和豁免检定均具有劣势。如果一柄月刃 接受你，你与其同调后其剑刃上将出现一个新的符文。你将一直与它保持同调直至死亡或该武器被摧毁。月刃每侍奉一个主人，剑刃上就多出一个符文（通常是1d6+1个）第一个符文通常是让该魔法武器发动的攻击检定和伤害掷骰获得+1加值。从第二个符文开始，每个符文会给月刃一项额外的属性。DM可以自行决定每项属性或按照下表随机决定。智能Sentience。月刃 是是一把中立善良的智能魔法武器。它的智力是12，感知10。它的听觉和黑暗视觉的感官范围为120尺。月刃 想要交流一些自己的感受时，会通过传递情绪以及向持用者手上传递刺痛来进行交流。它会在持用者进行出神trance或睡梦时以梦境和影像进行更细致的交流。个性Personality。每一柄月刃 追求精灵族的进步并且致力于达成精灵族的梦想。勇气、忠诚、美丽、音乐以及生命是它全部的目标。月刃 与其决心服侍的家族联系在一起。而一旦它与一位和自己理想相通的拥有者建立联系，便会绝对忠诚于对方。如果月刃 有缺点，那一定是它的自负。它一旦决定了自己的持有者，就会认定只有对方能够持用自己。哪怕其拥有者随后背离了精灵的理想，它也绝不改变。月刃的初始价格为24000gp，每有一个符文，价格提高4000gp。</t>
  </si>
  <si>
    <t>达诺斯护目镜</t>
  </si>
  <si>
    <t>塑能法师达诺斯·奥罗使用这副秘银镜框，透明钻石镜片的护目镜来侦查远处或寻找隐形的敌人。休眠。当着装处于休眠状态的护目镜时，你在黑暗中拥有60尺的视野距离，而无论其属于魔法黑暗还是非魔法黑暗。此外，你在依赖视觉的智力(调查)和感知(察觉)检定上具有优势。激活。当达诺斯护目镜处于激活状态时，将额外获得如下特性：·你能看见自身周边60尺以内的隐形生物或物件，如同其处于正常可见状态。你还能够看见同样范围内的以太位面，而以太位面的生物和物件在你眼中会以幽灵般的半透明状出现。·在你以一个附赠动作说出护目镜的命令语后，你获得可以看到实体物件内部或穿透它看到其后方的特殊视觉。视觉半径为60尺，持续1分钟。对你而言，在视觉范围内的实体均为透明状态，并且不会阻碍光线的通过。此视觉可以穿透1尺厚的石头、1寸厚的普通金属、或是至多3尺厚的木头或泥土。更厚的物件，或是一层铅片，将阻碍这种视觉。此后直到下一次黎明前，该特性都无法再次使用。·你可以以一个附赠动作说出达诺斯护目镜的命令语，将其切换至望远镜模式。此模式下，通过眼镜所看到的生物或物体将被放大至原本尺寸的两倍。此效应持续至你用一个附赠动作再次说出该命令语。超频。当达诺斯护目镜处于处于超频状态时，将额外获得如下特性：·你在对抗视觉幻象的豁免中自动成功。你在看任何并不处于其真实形态的生物时，于你而言，它的周身环绕着耀眼的光。·你可以以一个动作施展法术“反魔法⼒场”。此后直到下一次黎明前，该特性都无法再次使用。</t>
  </si>
  <si>
    <t>屠夫围裙</t>
  </si>
  <si>
    <t>这条黑色皮制围裙上沾满了无法被去除的血迹。着装此围裙时，你获得如下增益：·你每轮有一次机会为使用武器所造成的近战攻击伤害重掷伤害骰，且你必须接受新的结果。·你的挥砍武器的重击范围+1。</t>
  </si>
  <si>
    <t>吟游诗人乐器（奥莱姆竖琴）</t>
  </si>
  <si>
    <t>强袭法杖</t>
  </si>
  <si>
    <t>该法杖可以用作一把魔法长棍，你在用它发动的攻击检定和伤害掷骰获得+3加值。法杖有10发充能。用它发动近战攻击并命中时，你可以消耗至多3发充能。每消耗1发充能，目标将受额外1d6点力场伤害。法杖每天黎明时恢复1d6+4发已消耗的充能。当充能耗尽时，骰一次d20。如果骰值为1，法杖将变为一把非魔法的长棍。</t>
  </si>
  <si>
    <t>血斧</t>
  </si>
  <si>
    <t>在使用该魔法武器进行攻击时，你的攻击检定与伤害掷骰获得+2加值。血斧将对非构装生物或非不死生物额外造成1d6的黯蚀伤害。当你使用此武器将一个生物的生命值降为0时，你将获得10点临时生命值。这把斧子由深铁锈色的金属所制成，曾属于歌利亚野蛮人英雄。</t>
  </si>
  <si>
    <t>龙枪</t>
  </si>
  <si>
    <t>龙枪是在联结着巴哈姆特的强大神器的援助下用稀有金属铸造的著名武器。不同的龙枪分别为步兵（长矛）和骑兵（骑枪）铸造，但是魔法特性是相同的。你用这把魔法武器进行的攻击检定和伤害掷骰获得+3加值。当你用这把这把武器击中一条龙时，这条龙会受到额外3d6力场伤害，并且你30尺内由你选择的任何你能看见的龙可以立刻使用它的反应进行一次近战攻击。</t>
  </si>
  <si>
    <t>焚焰之笞</t>
  </si>
  <si>
    <t>这根黑色皮鞭的握把上刻印着火焰符文，而无数的余烬飞舞在鞭尾周遭。你使用这把武器发动的攻击检定与其伤害掷骰具有+1加值，且在击中时，鞭子还会额外造成1d6点火焰伤害。当你在用这把鞭子发动的攻击检定中掷出一次重击时，目标将被激情的烈火紧紧缠绕，陷入 束缚Restrained 状态，持续直至你的下一回合开始前。激活符文Invoking the Rune。当你用这根鞭子发动攻击并命中时，你可以用反应激活鞭子上的符文。当你这么做时，这根鞭子造成的额外火焰伤害将会增加至2d6。此符文被激活后，直到次日黎明为止都无法被再度激活。</t>
  </si>
  <si>
    <t>棱镜之冠</t>
  </si>
  <si>
    <t>这顶荆棘冠由黄金铸成，缠绕的藤蔓间镶嵌着数十枚颜色各异的宝石。宝石的颜色分别代表着提亚玛特的五个龙头。休眠。当着装处于休眠状态的棱镜之冠时，你获得如下增益：·你获得60尺的黑暗视觉。如果你已经拥有黑暗视觉，则它的范围增加60尺。·当你攻击并击中，或擒抱了小于或等于5级的野兽、龙类、怪兽生物时，你可以使用棱镜之冠以该生物为目标施放法术“支配怪物”。豁免成功，则该生物在接下来的24小时内免疫棱镜之冠的此特性。豁免失败，则一个金光闪闪的棱镜之冠的影像将出现在该生物的脖子上，或像皇冠一样戴在该生物的头上，直到法术结束（影像的位置由你指定）。当你在一个生物被棱镜之冠所施放的法术支配怪物所魅惑的情况下，尝试使用棱镜之冠以另一个生物为目标释放法术支配怪物时，第一个法术将立即终止。激活。当着装处于激活状态的棱镜之冠时，你额外获得如下增益：·当你攻击并击中，或擒抱了小于或等于10级的野兽、龙类、怪兽生物时，你可以使用棱镜之冠以该生物为目标施放法术支配怪物。超频：当着装处于超频状态的棱镜之冠时，你额外获得如下增益：·当你攻击并击中，或擒抱了小于或等于15级的野兽、龙类、怪兽生物时，你可以使用棱镜之冠以该生物为目标施放法术支配怪物。</t>
  </si>
  <si>
    <t>召唤巨灵戒指</t>
  </si>
  <si>
    <t>共有四种召唤巨灵戒指，分别对应着火元素位面的火巨灵、水元素位面的水巨灵、土元素位面的土巨灵、气元素位面的气巨灵。着装这枚戒指时，你可以用一个动作说出它的命令语以从元素位面召唤一名特定的巨灵。该巨灵将出现在你周围120尺内你指定的某个未被占据的位置。你必须专注以维持巨灵的存在（如同专注法术），持续时间至多1小时，或直到其生命值降至0或死亡。随后它将回到自己的位面。被召唤的巨灵对你和你的伙伴态度友善。无论你使用何种语言，它都会服从你的命令。如果你没有下达命令，它便只会保护自己且不执行任何动作。巨灵被遣返后，你必须等待24小时才能再次召唤它。如果该巨灵死去，则这枚戒指将变为非魔法物品。</t>
  </si>
  <si>
    <t>超凡余烬</t>
  </si>
  <si>
    <t>超凡余烬可以作为一个法术额外添加的材料成分。此时，这个法术能够在魔法失效的区域施展出来，也能在魔法失效的区域正常发挥作用。余烬的法力会很快消散，在你施法的1分钟之后，该法术仍然无法在魔法失效的区域发挥作用。摧毁神器。余烬作为法术的材料成分时，会在施法时消耗。</t>
  </si>
  <si>
    <t>迪恩的触手长鞭</t>
  </si>
  <si>
    <t>这条长长的鞭状肌肉异常坚韧，一端长着一根锋利的螯刺。要与该共生体武器同调，你必须在同调期间把鞭子缠绕在手腕上，期间鞭子会将卷须嵌入你的手臂，这个过程非常痛苦。使用这把魔法鞭子进行的攻击和伤害检定获得+2加值，但使用此武器攻击异怪时具有劣势。被此武器击中的生物额外受到1d6点心灵伤害。且当你使用此武器在攻击检定的d20中掷出20时，目标会陷入震慑，直到其下一回合结束。你可以使用一个附赠动作将鞭子缩进你的手臂里以收起武器，或是从你的手臂中抽出鞭子。共生体：当你与触手长鞭同调时，鞭子不能从你身上被移除，你也不能主动结束对鞭子的同调。如果你成为一个能结束诅咒的法术的目标，那么你与触手长鞭的同调自动结束，它将会与你分离。</t>
  </si>
  <si>
    <t>召唤泰拉斯奎巨兽卷轴</t>
  </si>
  <si>
    <t>以一个动作阅读这张卷轴将会令泰拉斯奎巨兽Tarrasque显现在你1里范围内可见的一处未被占据的空间。它对除它自身以外的所有生物都抱有敌意，且在生命值降至0时消失。在竞技场或短团中，召唤泰拉斯奎巨兽卷轴是非卖品。</t>
  </si>
  <si>
    <t>远祖之剑</t>
  </si>
  <si>
    <t>你在用该魔法武器发动攻击检定和伤害掷骰时获得+1加值。持握该剑时，你可以在你的每个回合使用以下属性之一:•你可以在用该剑进行攻击Attack动作后，立即令60尺内一个生物能够在此时用反应发动一次武器攻击。•你可以在进行疾走Dash动作后，立即令60尺内一个生物能够在此时用反应移动，距离不超过其移动速度。•你可以在进行回避Dodge动作后，立即令60尺内一个生物能够在此时用反应获得回避动作的增益。</t>
  </si>
  <si>
    <t>大师之剑</t>
  </si>
  <si>
    <t>大师之剑在一般人手中，只不过是非魔法的长剑，并且难以拔出或挥舞。使用者每满足“勇气”“智慧”“力量”三种条件之一，大师之剑的威力就会得到一次强化。勇气。如果你的感知值达到17，你在用该魔法武器发动攻击检定和伤害掷骰时获得+1加值，并且额外造成1d6点光耀伤害。智慧。如果你的智力值达到17，你在用该魔法武器发动攻击检定和伤害掷骰时获得+1加值，并且额外造成1d6点心灵伤害。力量。如果你的力量值达到17，你在用该魔法武器发动攻击检定和伤害掷骰时获得+1加值，并且额外造成1d6点力场伤害。驱魔之圣剑。如果你达成了全部三种条件，你以大师之剑对邪魔发动的攻击具有优势，你对抗邪魔进行的豁免检定具有优势。摧毁大师之剑。要摧毁大师之剑，必须将它置于地底的猩红瘴气之中，确保它在一年零一天内没有见过一丝阳光。之后，大师之剑会锈蚀并断裂。</t>
  </si>
  <si>
    <t>舞空剑</t>
  </si>
  <si>
    <t>你可以用附赠动作将这把魔法剑抛到空中并说出命令语。此时，魔剑将悬浮在空中，然后飞行至多30尺并攻击距离它5尺以内的一名生物。这视为由你发动的近战武器攻击。剑在空中悬浮时，你可以用附赠动作令它在你周围30尺范围内飞行至多30尺，还可以令它攻击距离它5尺以内的一名生物（同一个附赠动作）。剑在浮空状态下攻击四次后，它将飞行至多30尺试图回到你手上。如果你没有空着的手，那么它会落在你脚边。如果你和剑之间的路径被阻塞，则它会尽可能的落在离你最近的位置。如果你抓住悬浮的剑或者主动离开它超过30尺，那它也将停止悬浮。</t>
  </si>
  <si>
    <t>王座之旨武器</t>
  </si>
  <si>
    <t>这把武器嵌有华丽的金丝，饰以深蓝色和栗色的珠宝。你使用该武器进行的攻击检定和伤害掷骰获得+1加值。此外，你获得威吓和游说两个技能中你没有熟练项技能的熟练。施法Spellcasting。该武器有5发充能，该武器每天在黎明时恢复1d4发已消耗的充能。你可以用一个附赠动作并花费1发或多发充能来施展以下法术之一： 命令术command（1充能）、 诚实之域zone of truth（2充能）、 强迫术compulsion（4 充能）、 放逐术banishment（4充能）、支配人类dominate person（5充能）。</t>
  </si>
  <si>
    <t>奥法秘典+3</t>
  </si>
  <si>
    <t>调律者之鼓+3</t>
  </si>
  <si>
    <t>雷神之锤</t>
  </si>
  <si>
    <t>你用此魔法武器发动的攻击检定和伤害掷骰获得+1加值。巨人杀手Giant’s Bane（需同调）。要同调此物品，你必须同时着装“巨人之力腰带Belt of Giant Strength”（任意一种）和“食人魔力量护手Gauntlets of Orge Power”。如果你卸下其中任何一件，雷神之锤的同调也将立刻终止。持握该武器且与之同调时，你的力量属性和属性上限提升4。当你用这把武器攻击巨人且投出20时，该巨人必须进行一次DC 17的体质豁免，失败则立即死亡。雷神之锤有5发充能。与它完成同调后，你可以消耗1发充能并用它发动一次远程武器攻击，此时它将视为常规射程20尺，最大射程60尺的投掷武器。攻击命中时，锤子将产生300尺内都可听清的雷鸣。目标生物和它周围30尺内的生物必须成功通过一次DC 17的体质豁免，否则被震慑到你的下一回合结束。雷神之锤每天在黎明时恢复1d4发用掉的充能。在《风暴君王之雷霆》模组中，雷神之锤的价格提高为33000gp。</t>
  </si>
  <si>
    <t>飞行战车</t>
  </si>
  <si>
    <t>战车的骑士和拉动战车的生物获得AC值+1的奖励。如果这个魔法战车由一个或多个飞行生物拉动，则它也可以飞行。战车和拉车的生物的工作方式就像骑乘战斗规则中描述的受控坐骑一样，但有以下区别：·骑上或跳下战车只需要花费你5尺的移动距离，而不是相当于你速度一半的移动距离。·骑在战车上会给你提供半掩护。·战车的速度等于拉车生物中最慢者的速度。·如果有多个生物拉着战车，他们都以相同的先攻值行动，而且他们必须在自己的回合采取相同行动。</t>
  </si>
  <si>
    <t>梦族晶体+3</t>
  </si>
  <si>
    <t>矮人飞锤</t>
  </si>
  <si>
    <t>你用该魔法武器发动的攻击检定和伤害掷骰获得+3加值。它具有投掷属性，常规射程为20尺，最大射程为60尺。当你用此武器发动远程攻击命中时，它将造成1d8的额外伤害。如果命中的目标是一名巨人，则额外伤害提升为2d8。攻击后，此武器将立即飞回你的手中。在《风暴君王之雷霆》模组中，矮人飞锤的价格提高为35000gp。</t>
  </si>
  <si>
    <t>战法师魔杖+3</t>
  </si>
  <si>
    <t>龙怒武器（觉醒）</t>
  </si>
  <si>
    <t>这种武器装饰有龙头，爪子，翅膀，鳞片，或龙语文字。它进入巨龙宝库后会吸收龙的吐息武器的能量，并用它的特性造成这种类型的伤害。 
    沉睡。当你使用此武器进行攻击检定掷出20时，目标5英尺内每个你选择的生物都受到和龙的吐息武器相同类型的5伤害。
    激活。激活的武器具有沉睡状态的特性。此外，你使用该武器的攻击检定和伤害掷骰获得+1，每次攻击命中时该武器造成与龙息武器相同类型的额外1d6伤害。
    觉醒。觉醒的武器具有沉睡状态的特性，并且在沉睡状态的特性上有所提升。攻击检定和伤害掷骰的加值增加到+2，武器造成的额外伤害增加到2d6。以一个动作，你可以从武器中释放出 30尺锥形的毁灭性能量。该区域内的每个生物必须进行一次DC 16的敏捷豁免，豁免失败时受到龙息武器造成的8d6伤害，豁免成功时受到的伤害减半。一旦这个动作被使用，直到下一个黎明前它不能再次使用。</t>
  </si>
  <si>
    <t>地狱火焰权杖</t>
  </si>
  <si>
    <t>发光的余烬绕着这根黑色权杖的凸缘头部旋转。这把权杖可以用作奥术法器。持握这根权杖期间，你获得以下增益：炼狱抗性Hellish Resistance。你获得对火焰和暗蚀伤害的抗性。灼热叱喝Searing Rebuke。你可以用权杖施展4环版本的“炼狱叱喝hellish rebuke”。此法术一经权杖施放，直到下次黎明前不能再次以此法施放该法术。硫磺浪涌Surge of Brimstone。当你施放造成火焰或暗蚀伤害的法术时，你可以使用权杖来使其伤害掷骰直接取最高值而无需掷骰。此项属性一经使用，直到下次黎明前不能再次使用。</t>
  </si>
  <si>
    <t>射星弩</t>
  </si>
  <si>
    <t>这把弩由黑色木材制成，弩弓上镶嵌着排列为星座的珍珠。你可以忽略此弩的装填属性。 如果这把武器没有装填弹药，它会在你使用它进行一次远程攻击时自动为自己制造出一发魔法弹药。被创造出的弹药命中或落空后会消失。这把弩有3发充能，每天黎明时恢复1d3发已消耗的充能。星座Constellation。弩上饰有三个星座。以一个附赠动作，你可以激活其中一个星座，消耗1发充能并获得以下增益之一：·平衡Balance。你在下一回合结束之前用这把武器进行的下一次远程攻击命中时，你可以选择你或30尺内的另一个生物恢复1d8+你的熟练加值的生命值。·火焰Flame。直到你下个回合结束为止，你用这把武器进行的远程攻击在命中生物时造成额外的2d8点火焰伤害。·浪客Rogue。直到你下个回合结束为止，你变为隐形。你的穿着物和携带物也随之隐形。</t>
  </si>
  <si>
    <t>和睦戒指</t>
  </si>
  <si>
    <t>这枚用赤铁矿雕刻而成的戒指，其戒面上刻印着友谊符文。当你首次同调这枚戒指时，你可以触碰一个自愿生物，在你与它之间塑造一条魔法联结。联结存在期间，每当你受益于恢复生命值的法术或魔法效应时，受联结的生物也将获得那个法术或魔法效应相同的好处。你可以在长休结束时触碰另一名自愿生物，以此联结一名新的生物。一个生物同一时间只能受益于一枚 和睦戒指Ring of Amity 的联结，而已有的联结也会在生物离开当前位面、你在长休结束时与另一生物进行联结、或你以一个附赠动作主动结束联结时结束。激活符文Invoking the Rune。当另一联结生物以一次攻击检定击中了一个目标时，如果你此时与联结生物之间的距离不超过60尺，你就可以用你的反应去激活戒指上的符文，使联结生物的那次攻击形成一次重击。此符文被激活后，直到次日黎明为止都无法被再度激活。</t>
  </si>
  <si>
    <t>害虫裹尸布</t>
  </si>
  <si>
    <t>这件皱巴巴的斗篷以在“枯萎海岸”以尸体为食的老鼠的皮毛拼凑而成。斗篷的接缝处点缀着用魔法保存下来的膨胀的昆虫尸体。休眠。当着装处于休眠状态的害虫裹尸布时，你获得如下增益：·你在依赖嗅觉的感知（察觉）检定上具有优势。·你免疫疾病。·你获得60尺的黑暗视觉。如果你已经拥有黑暗视觉，则它的范围增加60尺。·你可以用一个动作，使用害虫裹尸布以自己为目标施放“变形术”，将自己变为一只巨鼠或老鼠。同时，你保留自己的智力，感知属性以及这件斗篷带给你的增益效果。此后直到下一次黎明前，该特性都无法再次使用。激活。当着装处于激活状态的害虫裹尸布时，你额外获得如下增益：·你获得对毒素伤害的抗性。·你可以用一个动作，使用害虫裹尸布施展法术“疫病虫群”。此后直到下一次黎明前，该特性都无法再次使用。·当你使用害虫裹尸布以自己为目标释放“变形术”时，可以将自己变成一只巨黄蜂。超频。当着装处于超频状态的害虫裹尸布时，你额外获得如下增益：·你获得等同于步行速度的攀爬速度。·你的牙齿将变成剃刀般锋利的天生武器，你可以使用它进行徒手攻击。你用牙齿造成的徒手打击伤害将变为1d6+你的力量调整值的穿刺伤害。此次攻击可以以一个附赠动作发动。每当你使用牙齿对一个生物造成伤害时，该生物都必须进行一次dc17的体质豁免，豁免失败则陷入中毒状态1分钟。该生物在其每回合结束时都可以再进行一次体质豁免，豁免成功则终止其身上的中毒状态。·当你使用害虫裹尸布以自己为目标释放“变形术”时，可以将自己变成一只巨蝎。</t>
  </si>
  <si>
    <t>摄心镜</t>
  </si>
  <si>
    <t>以非直接的方式看向这面镜子时，其中映着生物模糊的影像。镜子重50磅，拥有AC11，生命值为10，钝击易伤。生命值降至0时，镜子将粉碎并被摧毁。镜子被挂在垂直平面上时，你可以在5尺内用一个动作说出命令语激活它。它将一直保持激活状态直到你再次用一个动作说出该命令语。除你之外，任何在一面激活的摄心镜 周围30尺内从镜中看到自己影像的生物必须成功通过一次DC 15的智力豁免，否则会连同其着装或携带的东西一起被困入镜中的十二个异次元空间之一。如果该生物了解镜子的本质，则它进行的豁免具有优势。构装生物进行该豁免时直接成功。异次元空间中充满了浓雾，能见度只有10尺。被囚禁的生物不会衰老，也无需饮食和睡眠。使用位面旅行魔法可以逃脱该空间，但除此之外被囚禁的生物只能等待被释放。如果镜子的十二个异次元空间已被占满而镜子又困住了新的生物，则它将随机释放一名之前被囚禁的生物以容纳新囚犯。被释放的生物在镜子前未被占据的空间背对镜子出现。如果镜子被打碎，它囚禁的生物将全部被释放，出现在它周围未被占据的空间里。你可以在镜子周边5尺内用一个动作说出一名被囚禁生物的名字或是一个异次元空间的号码。该生物或是被囚禁于该号码空间里的生物的影像将出现在镜子里，使你得以和该生物进行正常交流。以类似的方式，你可以用一个动作说出另一个命令语以释放一名被囚禁的生物。被释放的生物连带其所有物将背对镜子出现在离镜子最近的未被占据的空间里。</t>
  </si>
  <si>
    <t>收妖瓶</t>
  </si>
  <si>
    <t>这是一个带黄铜瓶塞的铁瓶。你可以选择一个60尺内你能看见的生物作为目标，并用一个动作说出瓶子的命令语。如果目标并非你所处位面的生物，则它必须成功通过一次DC 17的感知豁免否则将被困入瓶中。如果目标曾经被瓶子囚禁过，则它进行的豁免具有优势。一旦被瓶子吸入，该生物将被困在瓶中直到被释放。收妖瓶最多只能同时容纳一名生物。被困在瓶中的生物无需呼吸和饮食，也不会衰老。你可以用一个动作拔掉瓶塞释放瓶中的生物。该生物将在1小时内对你和你的同伴态度友善并服从你的命令。如果你没有下达命令或你的命令可能导致该生物死亡，则它只会进行自卫且不会执行任何动作。持续时间结束后，该生物将按自己的意愿和阵营行动。“鉴定术Identify”可以辨别瓶中是囚禁有生物，但只有打开瓶塞才能确定其中的生物具体是什么。一个新发现的收妖瓶可能已经囚禁了一名由DM决定或随机决定的生物。</t>
  </si>
  <si>
    <t>掠魂尖啸</t>
  </si>
  <si>
    <t>这把铁质钉头锤的钉刺散发着轻微的、暗淡的光芒。死亡符文被铭刻在它的长杆上，并被嵌以珍珠装饰。你使用这把武器发动的攻击检定与其伤害掷骰具有+2加值，且这把武器在击中时造成暗蚀伤害，而非钝击伤害。当你使用这把武器攻击一个生物，并在攻击检定中掷出了20，你将获得10点临时生命值。而任何生物在你拥有至少1点这种临时生命值的情况下用近战武器攻击击中你时，该生物将受到10点暗蚀伤害。激活符文Invoking the Rune。以一个附赠动作，你可以激活武器上的符文，释放出被这把武器杀死的生物的尖啸，形成一阵极度刺耳的音爆。你周围60尺范围内的每个由你选择的生物都必须通过一次DC15的感知豁免，豁免失败将陷入 震慑Stunned 状态，持续直至你的下一回合开始前。此符文被激活后，直到次日黎明为止都无法被再度激活。</t>
  </si>
  <si>
    <t>艾恩石（精通）</t>
  </si>
  <si>
    <t>艾恩Ioun在许多世界被尊为知识和预言之神，而其名字则被用来命名这种石头。艾恩石有许多种，每一种都有与众不同的形状和颜色。
如果你用一个动作将一块艾恩石抛到空中，则它将环绕你的头部，与你的头部距离1d3尺移动，并为你带来一些增益。另一名生物必须用一个动作抓住或用网网住艾恩石，才能将它与你分开。上述方法需要成功通过一次对抗AC 24的攻击检定，或一次对抗DC 24的敏捷（体操）检定。你自己则可以用一个动作抓住并收起石头，终止它的效应。
每颗石头拥有AC 24，生命值为50，具有所有伤害类型的抗性。即使只是环绕你的头部移动，它依然视为由你着装。
颜色：淡绿
类型：精通
效果：你的熟练加值+1。</t>
  </si>
  <si>
    <t>异度神剑</t>
  </si>
  <si>
    <t>你用这把魔法剑发动的攻击检定与其伤害掷骰具有+3加值。这把剑能够撕裂现实的结构，在位面之间穿造出一条临时的裂隙。你可以用动作，选择除了你当前所在位面的另外一个存在位面，并向着你周围5尺范围内的一处未被占据的空间空砍一刀。你将在挥刀创造出一条通往所选位面的裂隙。裂隙将存在1分钟，其大小至高10尺，至宽10尺。一旦这一属性被使用，直到次日黎明为止都无法被再次使用。你可以指定位面上的一处地点作为裂隙的对侧位置，例如 火元素位面Elemental Plane of Fire 上的 黄铜之城City of Brass 或者 九层地狱The Nine Hells 第二层的 迪斯帕特Dispater 的宫殿。对侧裂隙将会开在你指定的地点内或该地点周围（由DM决定）。如果你尝试以此抵达黄铜之城，举个例子，你的DM可能会让对侧裂隙开在 钢铁之街Street of Steel 上、或是 灰烬之门Gate of Ashes 前、或是正对着黄铜之城但隔着 火之海Sea of Fire 的地方。任何从一侧裂隙穿过的东西都会瞬间被转移至另一个位面，出现在另一侧裂隙最近的未被占据空间内。</t>
  </si>
  <si>
    <t>健体手册</t>
  </si>
  <si>
    <t>这本手册记载了健身与运动的秘诀，其文字蕴含魔力。如果你在6日或更少的时间内花费48小时研读这本书并实践其中的方针，你的力量属性和力量属性上限均增加2。之后这本手册失去魔力，直到一个世纪后才能恢复。</t>
  </si>
  <si>
    <t>灵巧手册</t>
  </si>
  <si>
    <t>这本手册记载了平衡与协调的秘诀，其文字蕴含魔力。如果你在6日或更少的时间内花费48小时研读这本书并实践其中的方针，你的敏捷属性和敏捷属性上限均提升2。之后这本手册失去魔力，直到一个世纪后才能恢复。</t>
  </si>
  <si>
    <t>强身手册</t>
  </si>
  <si>
    <t>这本手册记载了保健与饮食的秘诀，其文字蕴含魔力。如果你在6日或更少的时间内花费48小时研读这本书并实践其中的方针，你的体质属性和体质属性上限均增加2。之后这本手册将失去魔力，直到一个世纪后才能恢复。</t>
  </si>
  <si>
    <t>应答之剑</t>
  </si>
  <si>
    <t>在灰鹰世界中，已知存在的这种剑仅有九把。这些剑都是传说中被称为“最终遗言Final Word”的宝剑弗拉格拉克Fragarach的仿制品。九把剑的名字和阵营各不相同，且把手末端镶有不同宝石。你在使用此剑发动的攻击检定和伤害掷骰获得+3加值。此外，持握该剑时，你可以用反应对你触及范围内任何一个对你造成伤害的生物发动一次攻击。这次攻击的攻击检定具有优势，且这次攻击造成的伤害忽略目标任何伤害免疫或抗性。</t>
  </si>
  <si>
    <t>祭血之刃</t>
  </si>
  <si>
    <t>这把剑的握柄上，镶嵌着一枚刻印着鲜血符文的红玛瑙。你可以将你的体质调整值（至少+1）加入到你用这把武器发动的攻击的伤害掷骰中。激活符文Invoking the Rune。当你用这把剑向一个生物发起攻击时，你可以激活这把剑的符文，使它散发出绯红色的光芒，并为你渴望鲜血的刀刃中注入致命的精准。你可以消耗并投掷一枚你未消耗的生命骰，并将其骰出数值加入到你的攻击检定中。你可以在投掷d20后再选择是否激活这一符文。如果那次攻击成功命中，你还可以消耗并投掷任意数量的你未消耗的生命骰，并将他们的投掷结果合起来，加入到武器的伤害中。此符文被激活后，直到次日黎明为止都无法被再度激活。</t>
  </si>
  <si>
    <t>神谕之牌</t>
  </si>
  <si>
    <t>这副神谕之牌上的插图在间接观察时会发生微小的移动或变化。当你完成了一次长休时，你可以花10分钟向卡牌咨询关于即将到来的日子的一个预兆。骰一次d20并记录骰点结果。接下来的8小时内限一次，当一个在你60尺内的生物进行了一次属性检定，攻击检定或豁免检定后，你可以立即以反应以弃用该d20骰点；该生物必须使用你所骰出的数字取代其骰点结果。此外，持握该牌组期间，你可以用它施展法术“预言术Divination”。一旦使用了该特性后，直到第二天黎明之前你无法再次使用该特性。</t>
  </si>
  <si>
    <t>天空船</t>
  </si>
  <si>
    <t>穿越云端的奢华之旅——这是一个用以吸引艾桑椎亚（Exandria）最富裕公民们的最为浪漫的点子。作为附加的好处，天空船的旅行避免了陆路或海上旅行的固有危险，而且比传送魔法更容易获得。这些漂亮的飞艇大小不一，但通常与商用过山车的大小相同。天空船由三颗或三颗以上被称为“雾石”的魔法水晶托起并引导，这些水晶被安装在船沿或者船的上层。遥远城市阿克哈莱（Ank'Harel）的阿尔斯法林联盟（Alsfarin Union）严密地保护着制造和维护这些雾石所需的魔法。尽管阿尔斯法林联盟偶尔会向外国企业出售天空船，但他们保留着对运行中的天空船进行维护的绝对控制权。天空船专供想要规避远航旅行的风险或者速度缓慢的货物、并负担得起高昂的航空旅费的个人使用。没有平民能租得起一艘天空船，艾桑椎亚（Exandria）的下层阶级通常将航空旅行视为富人精英凌驾于穷人之上的另一种方式。然而，另一些人则把这壮丽的飞船当做目标，渴望有朝一日能买得起它，或者具备能驾驶天空船的娴熟技术。达马利港Port Damali是荒洲唯一一个拥有开放的空中机场的城市。其他的天空船则出没在阿克哈莱（Ank'Harel）、瓦瑟尔海姆（Vasselheim）、伊摩恩（Emon）、或者白石（Whitestone）。很少有现役天空船会偏离这些主要城市之间的专用航线。</t>
  </si>
  <si>
    <t>幸运石+3</t>
  </si>
  <si>
    <t>魔网碎片指环+3</t>
  </si>
  <si>
    <t>复活权杖</t>
  </si>
  <si>
    <t>这把权杖有5发充能。持握权杖时，你可以用一个动作施展以下法术：“医疗术Heal（1充能）”或“复生术Resurrection（5充能）”。权杖每天黎明时恢复1发已消耗的充能。当权杖充能耗尽时，骰一次d20。如果掷骰结果为1，则权杖在一阵强光中消失。</t>
  </si>
  <si>
    <t>急速弯刀</t>
  </si>
  <si>
    <t>你用此魔法武器发动的攻击检定和伤害掷骰获得+2加值。另外，你在自己的回合里可以用一个附赠动作，以该弯刀发动一次攻击。</t>
  </si>
  <si>
    <t>拉铎司祭刃</t>
  </si>
  <si>
    <t>你在用该魔法武器发动攻击检定和伤害掷骰时获得+1加值。匕首的刀刃是残忍无情的锯齿，握柄犹如恶魔的头颅与蝠翼。每当你用该匕首杀死一个生物，其灵魂将被囚入匕首，只有许愿术wish能将其复活。匕首最多同时囚禁5个灵魂，每囚禁1个灵魂，匕首攻击命中时额外造成1d4黯蚀伤害。若匕首在距你5尺范围内，你的梦境将受到被困灵魂低语的纠缠。该匕首具有以下额外属性:吸取活力Siphon Vitality。你可以用一个附赠动作释放任意数量储存于匕首中的灵魂，每释放1个灵魂，你恢复1d10生命值。湮灭Annihilation。你可以在匕首囚禁5个灵魂时使用此项属性。你可以在用匕首攻击命中一个生物造成伤害后，立即用反应释放这5个灵魂，如果此时该生物生命值低于75，他必须进行一次DC为15的体质豁免，豁免失败则死亡。若该生物死亡，你必须完成一次长休才能再次使用这项属性。</t>
  </si>
  <si>
    <t>大法师法袍</t>
  </si>
  <si>
    <t>这件典雅的长袍由白色、灰色或黑色的精制布料制成，并饰有银色的符文。每一件大法师法袍都为某个阵营所定制，其颜色与阵营对应。白色代表善良、灰色代表中立，而黑色代表邪恶。你无法和与你阵营不符的法袍同调。着装这件长袍时，你获得以下增益：·不着装护甲时，你的基础AC为13+熟练加值+敏捷调整值。·你对抗法术和其他魔法效果时作的豁免检定具有优势。·你的法术豁免DC和法术攻击加值提升2。</t>
  </si>
  <si>
    <t>龙珠</t>
  </si>
  <si>
    <t>祈神蜡烛</t>
  </si>
  <si>
    <t>每支祈神蜡烛都为一位选定的神祇定制专用，且具有与神祇相同的阵营。蜡烛的阵营可以用“侦测善恶Detect Evil and Good”辨别。蜡烛对应的阵营由DM选择或随机决定。蜡烛拥有60发充能，你可以用以下方式使用：圣力充盈。消耗1发充能，以一个动作点燃蜡烛时，它的魔力就会被激活。每多燃烧1分钟，额外消耗1发充能。你可以用一个交互动作吹灭蜡烛以备将来之用。蜡烛燃烧时散发出30尺半径范围的微光光照。范围内阵营与蜡烛相同的神术施法者（牧师、德鲁伊、圣武士、游侠）每次消耗1环法术位时，立即恢复这个被消耗的法术位。异界之门。消耗50发充能，你用一个动作向神祇祈祷，以蜡烛呼唤一位对应神祇的使者，或是对应阵营位面的生物。这视同施展了一次针对特定生物的“异界之门Gate”。</t>
  </si>
  <si>
    <t>静思卷册</t>
  </si>
  <si>
    <t>这本书的文字蕴含魔力，记载了训练记忆力和逻辑思维的方法。如果你在至多6日内花费累计48小时研究这本书的内容并按其中的方法训练，你的智力和智力上限将提高2。此后静思卷册将失去魔力，直到一个世纪后才会恢复。</t>
  </si>
  <si>
    <t>通晓卷册</t>
  </si>
  <si>
    <t>这本书的文字蕴含魔力，记载了训练直觉和洞察力的方法。如果你在至多6日内花费累计48小时研究这本书的内容并按其中的方法训练，你的感知和感知上限将提高2。此后通晓卷册失去魔力，直到一个世纪后才会恢复。</t>
  </si>
  <si>
    <t>毕格比裨益臂镯</t>
  </si>
  <si>
    <t>这件华丽的珠宝饰品由法师 毕格比Bigby 为他自己打造由四枚黄金戒指和一个镶嵌蓝宝石和钻石的臂环组成，手背上分别有精致的金链条连接着臂环与四枚戒指上。随机属性Random Properties。手镯具有以下的随机属性：·1项弱效增益属性·1项强效增益属性·1项弱效减益属性灵活手指Dexterous Fingers。佩戴这件手镯期间，每个你的回合一次，你可以用意念施展“法师之手Mage Hand”，无需任何动作。力场雕塑Force Sculpture。使用1分钟时间专注，并引导手镯的魔力，你可以创造一个大型或以下非魔法物件的力场复制品。复制品会出现在你周围10尺范围内的未被占据空间中，且它必须出现在一个能支撑他的表面上或液体中。灵体复制品用坚硬、但透明的力场制造，会模仿被复制物件的尺寸、重量、以及其他属性。生物可以如正常非魔法物体一般触碰复制体，或与复制体交互。复制体免疫于所有伤害，亦无法被解除，但一次法术 解离术disintegrate 可以立刻摧毁它。此外，复制体将在8小时，或在你主动用一个动作解散它时消失。手镯可以创造至多三次复制体，每日黎明，手镯将恢复全部已被消耗的创造次数。有助之手Helpful Hand。以一个动作，你可以用手镯施展9环版本的法术“毕格比之手Bigby's hand”。当你以此施展这个法术时，由手镯负责维持该法术的专注。此能力一旦被使用，直到次日黎明前都无法被再次使用。</t>
  </si>
  <si>
    <t>超魔权杖（法术极效）</t>
  </si>
  <si>
    <t>超魔权杖（法术速发）</t>
  </si>
  <si>
    <t>防护斗篷+3</t>
  </si>
  <si>
    <t>防御戒指+3</t>
  </si>
  <si>
    <t>王者权杖</t>
  </si>
  <si>
    <t>力场解构者武器</t>
  </si>
  <si>
    <t>你用这把魔法武器发动的攻击检定与其伤害掷骰具有+2加值。这把武器专门设计为解构魔法力场结构所用，例如“力场监牢Forcecage”或“力场墙Wall of Force”创造的那些。这把武器攻击不超过大型的魔法力场结构时，会自动命中并击碎它。如果目标是巨型或更大体型的力场结构，这把武器会击碎其20尺立方的部分。//此处的“结构”意在“固定的立方状隐形监牢”或是“一面看不见的力墙”这样的东西，护盾术、法师护甲等很显然不属于此类内容。“反魔法力场Antimagic field”的原文中没有“力场Force”这样的单词，不能被击碎。</t>
  </si>
  <si>
    <t>机关械甲</t>
  </si>
  <si>
    <t>这套护甲与外表与关节处均装有齿轮，这些齿轮彼此咬合。它自 机械境Mechanus 的秩序魔法中汲取能量。这套护甲具有4发充能。穿戴盔甲期间，每当你进行一次D20掷骰时，你都可以消耗1发充能将你已骰出的骰值改为10。这套护甲在每日黎明时分恢复1d4发已消耗的充能数。</t>
  </si>
  <si>
    <t>隐身斗篷</t>
  </si>
  <si>
    <t>着装此斗篷后，你可以把兜帽拉到头上以使自己隐形。你身上着装和携带的所有东西也会随你隐形。褪下兜帽会使你显形。褪下或拉起兜帽需要一个动作。隐身斗篷的效应至多能持续2小时，持续时间以1分钟为单位扣除。使用2小时后，斗篷将暂时失效。停止使用斗篷达12小时可以为它恢复1小时的使用时间。</t>
  </si>
  <si>
    <t>巨灵囚瓶</t>
  </si>
  <si>
    <t>这个彩绘的黄铜瓶子重1磅。如果你用一个动作拔出瓶塞，一团浓烟将从瓶内溢出。在你的回合结束时，该浓烟会随着一股无害的元素能量波动消失，同时一名巨灵（火巨灵、气巨灵、土巨灵、水巨灵之一）将出现在你周边30尺内一个未被占据的空间位置。瓶子第一次被打开时，DM掷骰决定效应。</t>
  </si>
  <si>
    <t>龙触法器（神化）</t>
  </si>
  <si>
    <t>这个物品可以是法杖、法球、护符、水晶或其他的精制物件。它通常包含有龙的翅膀、爪子、牙齿或鳞片的象形。
沉睡。你的先攻检定具有优势。当你持握这件法器时，它可以作为你施展所有法术的法器。
激活。激活法器具有沉睡状态的特性，它还获得了另一个特性，由激活它的宝库的主龙的族裔决定：色彩。每当你使用法术位施展一道造成强酸、冷冻、火焰、闪电或毒素伤害的法术时。投掷一个d6，你在这个法术的其中一个伤害掷骰上增加掷出的值。宝石。当你使用法术位施放一道法术时，你可以立即传送到距离你15尺内一处你能看见且未被占据的空间。金属。当一个你能看到的生物在你30英尺内进行豁免检定时，你可以使用你的反应使该生物在这次豁免检定上获得优势。
觉醒。觉醒的法器有沉睡和激活状态的特性，当你持握觉醒法器时，你可以使用它来施放特定的法术。一旦该物品被用来施放一道这个特性赠送的法术，直到下一个黎明之前它就不能再次被用于施展该法术。这些法术由使其觉醒的宝库主龙的族裔决定。星号表示本章前面出现的新法术。色彩。怪物定身术，莱姆束缚之霜宝石。拉瑞心灵链接，劳洛希姆心灵长枪金属。费茨本铂金盾，通晓传奇
神化。神化法器具有沉睡、激活和觉醒状态的特性。此外，当你持握这个法器施展一道1环或更高环阶的法术时，你可以将其视为使用9环法术位施放的法术。一旦这项特性被使用，直到下一个黎明之前它不能被再次使用。</t>
  </si>
  <si>
    <t>彗星卷轴</t>
  </si>
  <si>
    <t>若你以一个动作阅读这张卷轴，一颗从天而降的彗星坠落在你1里范围内可见的地面上的一点。你必须在室外使用这张卷轴，否则什么都不会发生，且卷轴将被浪费。彗星在撞击时会创造一个深50尺、半径500尺的陨石坑。该半径范围内的所有生物必须进行一次DC20的敏捷豁免。豁免失败者将受到30d10的力场伤害，豁免成功则伤害减半。陨石坑中的所有建筑物以及所有未被穿着或携带的非魔法物件亦将被摧毁。在竞技场或短团中，彗星卷轴是非卖品。</t>
  </si>
  <si>
    <t>血腥终结</t>
  </si>
  <si>
    <t>承载着班恩之力，这把精金钉头锤有着足一英尺长的尖刺，柄端还有一片锯齿状的刀刃。智能。血腥终结是一把守序邪恶的智能魔法武器。它的智力为22，感知18。它的听觉和黑暗视觉的感官范围为120尺。这把武器能够与持有者通过心灵感应进行交流，能够说、读和理解通用语和炼狱语。个性。一个名叫埃齐兹Izeelzee的深狱炼魔寄宿于血腥终结内。这把武器疯狂地推动其拥有者征服他人，不从任何挑战中退缩。如果拥有者并不要求他人效忠，这把武器也很乐意代表其做出要求。休眠。当血腥终结处于休眠状态时，将获得如下增益：·你可以说、读、写炼狱语。·你使用该魔法武器发动的攻击检定和伤害掷骰具有+1加值。·当你持握这把钉头锤时，你可以用一个动作施展以下列表的法术（豁免DC13）：魅惑人类，支配人类或恐惧术。每种法术一经钉头锤施展，在下个黎明到来之前不能再用此法施展。·当你持握这把钉头锤时，你的力量（威吓）检定具有优势。激活。当血腥终结处于激活状态时，将获得如下增益·使用该魔法武器发动的攻击检定和伤害掷骰的加值增至+2。·用钉头锤施展的法术之豁免DC增至15。·当你使用血腥终结进行的攻击使一个生物的生命值变为0时，可以造成以下效应：每个距离15尺内的生物必须通过一次DC15的感知豁免，或者被你恐惧，直到你的下一轮。这项能力直到下次黎明前不能再使用。·当你被一次近战攻击命中时，可以用一个反应对攻击者造成1d6点心灵伤害。超频。当血腥终结处于超频状态时，将获得如下增益：·使用该魔法武器发动的攻击检定和伤害掷骰的加值增至+3。·增加支配怪物法术到钉头锤能够施展的法术列表中。·用钉头锤施展的法术与造成恐惧之豁免DC增至17。·当你用你的反应对以近战攻击命中你的生物造成心灵伤害时，该心灵伤害增至2d6。</t>
  </si>
  <si>
    <t>小丑面具</t>
  </si>
  <si>
    <t>这款色彩缤纷的多米诺花纹小丑面具的边缘镶有珍珠。着装此面具后，你获得以下增益：魅力焦点Charismatic Focus。你可以将面具作为施展法术的法器。你在法术攻击检定和法术豁免DC上获得+3加值。非凡逃脱Marvelous Escape。当一个生物的攻击检定命中你时，你可以用一个反应消失在一阵烟雾和彩色闪光之中。你不会因此次攻击受到任何伤害，而是连同你穿着或携带的任何物件一起传送到一个你可以看到的30尺内的未被占据的空间。此反应一经使用，直到下次黎明前不能再次使用。颠倒黑白Topsy-Turvy。当你在d20上掷出1时，你可以将该掷骰视为掷出20。此项属性一经使用，直到下次黎明前不能再次使用。</t>
  </si>
  <si>
    <t>龙器（神化）</t>
  </si>
  <si>
    <t>这个容器可以是一个药水瓶，饮水角，或用来容纳液体的容器。 
沉睡。以一个附赠动作，如果容器是空的，你可以说出命令词来使麦芽酒、橄榄油、一剂治疗药水或一剂攀爬药水从盛满容器。一旦这项特性被使用，直到下一个黎明之前它不能被再次使用。你用这种方法制作的药水如果不在24小时内被饮用，就会失去它的魔法特性。
激活。除了沉睡状态的容器的选项以外，你还可以用蜜酒，一剂火焰吐息药水或一剂治疗药水（高等）盛满激活的容器。
觉醒。除了沉睡或激活状态的容器的选项以外，你还可以用葡萄酒，一剂飞行术药水或一剂治疗药水（强效）来装满觉醒的容器。
神化。除了其他状态的选项以外，你还可以用威士忌、一剂治疗药水(极效)或一剂龙王药水来盛满神化的容器。</t>
  </si>
  <si>
    <t>命运纺锤</t>
  </si>
  <si>
    <t>这根魔杖的形状就像一个包复着红线的水滴形纺锤。这把魔杖有6发充能，魔杖在每个黎明时恢复1d6发已消耗的充能。可以通过以下方式消耗充能：战斗预知Battle Foreknowledge。投掷先攻时，你可以消耗1发充能，从检定总值中加上或减去你的熟练加值。末日前兆Doom Foretold。以一个动作，你可以消耗2发充能指定距你30尺内的一个生物，引发它的厄运。只要该生物与你在同一存在位面，你就会感测到该生物的方位。如果该生物正在移动，则你也将知晓其移动的方向。此外，一回合一次，你对被此特性标记的生物造成伤害时，可以投掷1d6并将骰出的数值加入伤害骰中。这些增益持续1小时或你再次使用这一特性指定一个不同生物为止。扭曲命运Twist of Fate。当距你60尺内的一个生物进行豁免检定或攻击检定时，你可以用一个反应消耗3发充能并改变其结果，将失败的豁免转变为成功，将未命中的攻击转变为命中，反之亦然。</t>
  </si>
  <si>
    <t>噬光者</t>
  </si>
  <si>
    <t>黑夜国度的居民为了对抗光明所打造的武器。其形貌为一把漆黑如墨的巨镰，很难分辨出其上的纹路，从它身上涌起的黑暗仿佛要将周围的光线都吞噬一般。·魔法武器。你用噬光者发动的攻击检定和伤害掷骰获得+3加值。·忽略抗性。你造成的暗蚀伤害可以无视伤害抗性。·充能。噬光者拥有8发充能，在黎明时分，噬光者将恢复1d6+2发充能。当噬光者的攻击命中时，你可以消耗1发充能造成额外1d10点暗蚀伤害。你可以消耗若干充能，使用噬光者施展以下法术：黑暗术（1充能），哈达之欲（2充能），莫伊之影（3充能），豁免DC20。这些法术可以额外消耗充能进行升环施法，每额外花费1充能，法术环阶就提高一环。·光线分解。噬光者周围5尺范围内的光照等级降低一级。（明亮光照变为微光光照，微光光照变为黑暗）同调者每次受到的光耀伤时，噬光者会恢复一发充能，并且降低5点同调者受到的光耀伤害。</t>
  </si>
  <si>
    <t>征服</t>
  </si>
  <si>
    <t>碎镜之锋</t>
  </si>
  <si>
    <t>萨瑞兹顿的武器，这把匕首是一块锯齿状的石头，纹着无始无终的迷宫。智能。碎镜之锋是一把混乱邪恶的智能魔法武器。它的智力为21，感知24。它的听觉和黑暗视觉的感官范围为120尺。这把武器能够与持有者通过心灵感应进行交流，能够说、读和理解深渊语和通用语。个性。一头名叫拉加祖Ragazuu的疯癫迷诱魔寄宿于碎镜之锋内。这把武器渴望制造混乱，它会学习其拥有者的观念，并用这些理念鼓励鲁莽的行动。这把匕首始终低语着变革的思想。休眠。当匕首处于休眠状态时，将获得如下增益：·你能说，读，写深渊语。·你使用该魔法武器发动攻击检定和伤害掷骰时具有+1加值。用该魔法武器发动远程攻击后，会立刻返回到你的手里。·每当你用碎镜之锋发动攻击杀死一个类人生物时，锋刃会记住那个生物的外表。当你持握这把匕首时，你可以用一个动作改变你的形态，变成任何锋刃记住的类人生物。你除了体型以外的的游戏数据不会改变。任何你所穿戴或携带的装备也不会改变。你可以用一个动作变回你的真实外表。当你死后，你会变回你的真实外表。激活。当匕首处于激活状态时，将获得如下增益：·使用该魔法武器发动的攻击检定和伤害掷骰的加值增至+2。·当你持握这把武器时，你可以用一个动作施展以下列表的法术（豁免DC15）：鬼斧神工，幻景，高等幻影或魅影杀手。每种法术一经匕首施展，在下个黎明到来之前不能再用此法施展。超频。当匕首处于超频状态时，将额外获得如下增益：·使用该魔法武器发动的攻击检定和伤害掷骰的加值增至+3。·用匕首施展的法术之豁免DC增至17。·持握这把匕首时，你可以用一个动作进入隐形。任何你着装或携带的东西也将随你隐形。你保持隐形直到发动攻击、施展法术，戒指被摘下，或是用一个附赠动作主动解除隐形。</t>
  </si>
  <si>
    <t>坚不可摧护甲</t>
  </si>
  <si>
    <t>着装此护甲时，你对非魔法伤害拥有抗性。此外，你可以用一个动作让自己免疫非魔法伤害，持续10分钟或直到你不再着装该此护甲为止。使用后，直到次日黎明前你都无法再次启动该专有动作。</t>
  </si>
  <si>
    <t>光辉头盔</t>
  </si>
  <si>
    <t xml:space="preserve"> 这顶耀眼的头盔上镶嵌着1d10颗钻石diamonds、2d10颗红宝石rubies、3d10颗火蛋白石fire opals和4d10颗蛋白石opals。从头盔上摘下的宝石将化为尘埃。所有宝石都被摘下或摧毁后，此头盔将失去魔力。着装这顶头盔时，你获得以下增益：·你可以用一个动作并使用一颗相应的宝石施展下列法术之一：昼明术daylight（蛋白石opal）、火球术fireball（火蛋白石fire opal）、虹光喷射prismatic spray（钻石diamond）、火墙术wall of fire（红宝石ruby）。施展法术后宝石被摧毁并消失。·只要头盔上还有至少一颗钻石，当周围30尺内有不死生物存在时，头盔就会发出30尺半径范围的微光光照。在此范围内开始其回合的不死生物将受到1d6点光耀伤害。·只要头盔上还有至少一颗红宝石，你就对火焰伤害有抗性。·只要头盔上还有至少一颗火蛋白石，你就可以用一个动作说出命令语，使你手中的一把武器燃起火焰，并提供10尺的明亮光照和额外10尺的微光光照。火焰对你和武器本身无害，但当你用该武器命中一次攻击时，受攻击的目标将额外受1d6点火焰伤害。火焰将持续到你收起、扔掉武器或用一个附赠动作再次说出该命令语。着装头盔时，如果你因为对一个法术豁免失败而受到火焰伤害，则骰一次d20。如果骰值为1，则头盔上剩余的宝石将迸射出光束。60尺范围内的每个生物都必须成功通过一次DC 17的敏捷豁免否则将被光束击中，并受到与头盔上剩余宝石数量相等点光耀伤害。此后光辉头盔和所有宝石都被摧毁。</t>
  </si>
  <si>
    <t>年表仪盘</t>
  </si>
  <si>
    <t>当你与该组件同调时，你获得+1先攻检定。当你第一次与年表仪盘同调时，你可以选择一种你不知道的语言。此后只要你与该组件同调，你就通晓此语言。·时间盗贼。在你回合开始时，投一次d6 ( 无需使用动作)。投出点数为1-3时，你使时间放慢，在你的回合获得额外一个动作，并且直到回合结束速度翻倍。投出点数为4-6时，你使时间加速，看清将至的危险。当你下一次失败豁免鉴定，攻击检定或属性鉴定时，你可以重投一次，并在两个结果中二选一。一旦你使用了年表仪盘的这个能力，它在新一天前将无法被再次使用。·命运交替。当你视野内，处在你半径30尺内的生物受到伤害时，你可以使用一个反应触发该能力。如果处在该生物回合内，该生物获得额外一次动作；如果处在该生物回合外，该生物可以立刻使用一次动作。一旦你使用了年表仪盘的这个能力，它在新一天前将无法被再次使用。·六位一体。当这件组件未被安装进位面游荡仪时，它的魔法可能会时断时续，或是会有无法预测的副作用，这由DM决定。</t>
  </si>
  <si>
    <t>如丝毒怨</t>
  </si>
  <si>
    <t>冰亡</t>
  </si>
  <si>
    <t>持用者用此魔法武器发动的攻击检定和伤害掷骰获得+3加值。当持用者用此武器发动近战攻击命中时，它将额外造成1d8寒冷伤害，如果命中的目标是来自火元素位面的本地生物（例如凤凰、黄铜城的巨灵贵族），或者中文名称中包含“火字旁”（例如鬼火、深狱炼魔、快可灵），则额外伤害提升为2d8。持用者获得火焰伤害抗性。</t>
  </si>
  <si>
    <t>巨人之力腰带（云巨人）</t>
  </si>
  <si>
    <t>巨人之力腰带共有六种，价格各有不同，分别对应六种巨人。提供不同的力量值和力量属性上限。云巨人：力量+6，不能超过28。</t>
  </si>
  <si>
    <t>巨人之力腰带（风暴巨人）</t>
  </si>
  <si>
    <t>巨人之力腰带共有六种，价格各有不同，分别对应六种巨人。提供不同的力量值和力量属性上限。风暴巨人：力量+6，不能超过28。</t>
  </si>
  <si>
    <t>密姐装置</t>
  </si>
  <si>
    <t>创新是个危险追求，至少魔法之神“密斯特拉”的信徒对它的研究已近走火入魔。他们设计了控制引导魔法的装置，能够将不同职业的法术融为一体，并亲切地称呼它为“密姐”装置。只有密斯特拉教会的施法者可以同调密姐装置，该教会的成员包括：主教会（牧师和契术师）、教会学院（法师和灵能师）、射星骑士团（游侠）、秘火骑士团（圣武士）、蓝调骑士团（吟游诗人）、魂剑骑士团（心灵武士）、后勤人员（奇械师和德鲁伊）。你可以在着装密姐装置时将它作为法器，还可以密姐装置施展你的职业法术列表中的法术或戏法，即使它不是已知法术或已准备法术，但你必须拥有对应的法术位。举例来说，6级法师/2级圣武士拥有4环法术位，穿戴密姐装置后可以尝试施展4环法师法术和4环圣武士法术。施展非已知法术或未准备法术时，你仍需消耗法术位施法。施法结束前，你必须进行一次智力（奥秘）检定，DC=10+你施法消耗法术位环阶的两倍。若检定成功，你以正常方式施法、使用法术豁免DC与施法关键属性调整值；若检定失败，你释放一个不同的法术，从下方与你消耗法术位的环阶对应的列表中掷骰决定。若该法术位环阶为6环或更高，使用5环法术列表掷骰。施展非已知戏法时，上述智力（奥秘）检定DC为10，检定失败则戏法不产生任何效应。</t>
  </si>
  <si>
    <t>誓仇弓</t>
  </si>
  <si>
    <t>当你弯弓搭箭时，誓仇弓会用精灵语悄声念出“速歼敌”。当你用此武器发动远程攻击时，你可以说出命令“负我者死”，而这次攻击的目标将成为你的仇敌，直到它死亡或直到七日后的黎明之时。你同时只能指明一名这样的仇敌。仇敌死后，你可以在次日黎明后重新选择仇敌。使用此弓对仇敌发动远程攻击时，你的攻击检定具有优势。另外，目标不会从非全身掩护的掩护状态中受益，你也不会因为超出常规射程而承受劣势。如果攻击命中，你的仇敌将额外受3d6点穿刺伤害。只要你的仇敌还活着，你使用其他武器发动的攻击检定将承受劣势。</t>
  </si>
  <si>
    <t>阴影之鞭</t>
  </si>
  <si>
    <t>完美潜能头盔</t>
  </si>
  <si>
    <t>这顶铜色色调的头盔的额头位置嵌有一枚 元素混沌Elemental Chaos 的碎片，碎片周围装饰有太阳样式的纹路。传说道 安南Annam 为他的女儿 迪安卡斯特拉Diancastra 制造了这件头盔，用于承载一枚她曾用来向父亲证明自己本事的混沌碎片。随机属性Random Properties。头盔具有以下的随机属性：·2项弱效增益属性·1项强效增益属性·1项弱效减益属性狡诈之主Master if Guile。佩戴这顶头盔期间，你在感知（欺瞒）检定与感知（洞悉）检定中具有优势。元素浩劫之矢Arrow of Elemental Havoc。佩戴这顶头盔期间，你可以以一个附赠动作向着你周围90尺范围内可见的一个生物发射一发激烈元素能量的箭矢。目标必须通过一次DC20的敏捷豁免，豁免失败时，生物将受到4d6点强酸、寒冷、火焰、闪电、或雷鸣伤害（由你选择）。豁免成功则伤害减半。施法Spellcasting。这顶头盔具有6发充能，每日黎明它会恢复1d6发充能。以一个动作，你可以消耗1发或更多发它的充能来施展以下法术之一（豁免DC20）：元素武器elemental weapon（1充能），召雷术call lightning（2充能），火墙术wall of fire（3充能），元素咒唤术conjure elemental（4充能），海啸术tsunami （5充能）。</t>
  </si>
  <si>
    <t>贤者法杖</t>
  </si>
  <si>
    <t>拉奥圣杖</t>
  </si>
  <si>
    <t>掘地之爪</t>
  </si>
  <si>
    <t>这只饱经风霜的皮制手套上安装着三只大金属爪钩，其外形酷似一只鼹鼠的爪子。山脉符文被缝纫在了这只手套的掌心上。这只手套被视为一件魔法匕首（具有灵巧和轻型属性，不能用于投掷，造成1d4点挥砍伤害而非穿刺伤害）。同调这只手套期间，你获得等同于你步行速度的掘穴速度，以及15尺的盲视。激活符文Invoking the Rune。以一个动作，你可以激活手套上的符文，利用大地的坚固力量强化自身。消耗并投掷数枚你未消耗的生命骰（至多等同于你的熟练加值枚）。你恢复 骰出数值合计值外加你的体质调整值 点的生命值。此符文被激活后，直到次日黎明为止都无法被再度激活。</t>
  </si>
  <si>
    <t>马斯提刻斯，厄睿柏斯之鞭，</t>
  </si>
  <si>
    <t>厄睿柏斯挥舞着马斯提刻斯，一根能如同暗影一样不可思议地延伸的长鞭。在死神的手中，这根鞭子会拉走那些不愿死去之人，将他们活活拽入死神的王国。当厄睿柏斯将他的武器授予凡人信徒时，通常是为了夺回一位强大的灵魂或者为了羞辱赫利欧德。逝者之鞭。厄睿柏斯的长鞭随着冥界枯朽的能量而抽动。这根魔法鞭赋予用它进行的攻击和伤害检定+3的加值。当你使用它攻击命中时，目标额外受到2d8暗蚀伤害，并且你回复造成黯蚀伤害一半数值的生命值。此外，在你的回合内，当你以它进行一次攻击时，你能将攻击的触及距离提升到300尺。武器的这项特性直到下一次黄昏无法使用。逝者之祝福。如果你是厄睿柏斯的崇拜者，你将获得以下所有你满足虔信值需求的好处。虔信值1+。鞭子获得1个随机弱效增益属性。虔信值25+。鞭子获得1个随机强效有益属性。虔信值50+。鞭子再获得1个额外的随机强效增益属性。如果你并非厄睿柏斯的信徒，鞭子获得2个随机确定的弱效减益属性。厄睿柏斯之索求。当携带这根长鞭时，你能以一个动作用鞭施展“死亡法阵Circle of Death”或支“配怪物Dominate Monster”。这些法术的豁免DC为18.一旦你使用长鞭施展了一个法术，下一个黄昏之前，你不能再使用它施展法术。摧毁长鞭。要摧毁长鞭，必须将它带到尼兹，在海尔托斯山的高处，由一位转世者将它拆开，在不断的日光照射下晒一个月。</t>
  </si>
  <si>
    <t>碎岩胸甲</t>
  </si>
  <si>
    <t>这件板甲以大理石纹的花岗岩打造，不过它与普通的金属盔甲的重量别无二样。它的胸膛上有着岩石符文的纹章装饰。穿着这件胸甲期间，你获得钝击、穿刺、与挥砍伤害的抗性，且免疫于被击入 倒地Prone 状态。激活符文Invoking the Rune。以一个动作，你可以激活护甲上的符文以用其施展法术“石墙术wall of stone”。此符文被激活后，直到次日黎明为止都无法被再度激活。</t>
  </si>
  <si>
    <t>幻影师护臂</t>
  </si>
  <si>
    <t>一位来自底密尔会堂的强大幻术师创造了这种护臂的最初形态，用以同时创造多个次级幻象，然而护臂的功用很快向外延伸，探入领域远不止幻象方面。每当你在着装幻影师护臂时，用动作施展戏法，或是用动作预备戏法，你可以用一个附赠动作在同一回合再次使用该戏法。队伍中有契术师时，幻影师护臂的价格提高为82500gp。</t>
  </si>
  <si>
    <t>威力法杖</t>
  </si>
  <si>
    <t>该法杖是一把魔法长棍，你在用它发动的攻击检定和伤害掷骰获得+2加值。持握法杖时，你的AC、豁免检定和法术攻击检定获得+2加值。这把法杖有20发充能，且每天黎明时恢复2d8+4发已消耗的充能。当充能耗尽时，骰一次d20。如果骰值为1，法杖将失去除攻击检定和伤害掷骰的+2加值外的所有属性。如果骰值为20，则法杖恢复1d8+2发充能。威力打击Power Strike。用这把法杖发动近战攻击并命中时，你可以消耗1发充能以对目标造成额外1d6点力场伤害。法术Spells。持握这把法杖时，你可以用一个动作并消耗1发或更多充能以施展以下法术之一：“魔法飞弹Magic Missile（1充能）”“衰弱射线Ray of Enfeeblement（1充能）”“浮空术Levitate（2充能）”“寒冰锥Cone of Cold（5充能）”“火球术Fireball（5环版本，5充能）”“怪物定身术Hold Monster（5充能）”“闪电束Lightning Bolt（5环版本，5充能）”“力场墙Wall of Force（5充能）”“法术无效结界Globe of Invulnerability（6充能）”。复仇打击Retributive Strike。你可以用一个动作在自己的膝盖上或坚固的表面上折断这把法杖，释放复仇性的打击。法杖将毁灭并产生一场以其为中心半径30尺的爆炸，释放其剩余的所有魔力。你有50%的概率被传送到某个随机位面以避开爆炸。如果你未被传送，则你将受16×法杖剩余充能数点力场伤害。爆炸范围内的其他生物必须进行一次DC 17的敏捷豁免。豁免失败的生物根据它距离爆炸中心的距离承受伤害，如下表所示。豁免成功的生物伤害减半。</t>
  </si>
  <si>
    <t>荒野守卫护甲</t>
  </si>
  <si>
    <t>这是一件精美的抛光皮甲，据说在灾祸之战之前，梅洛拉将它赠予一位大德鲁伊，作为给自然的守护者的礼物。休眠。当着装处于休眠状态的荒野守卫护甲时，你获得如下增益：·你的AC获得+1加值。·当你被变形效应影响时，你的近战攻击检定与伤害掷骰获得+1加值，并保留这个护甲带给你的增益。·你可以用一个动作使用此护甲以自己为目标释放“变形术”，将自己变成一只巨猫头鹰。同时，你保留自己的智力，感知属性。此后直到下一次黎明前，该特性都无法再次使用。激活。当着装处于激活状态的荒野守卫护甲时，你额外获得如下增益：·你的AC再获得+1加值，变为+2。·当你被变形效应影响时，你的近战攻击检定与伤害掷骰再获得+1加值（到+2）。·当你使用此护甲以自己为目标释放“变形术”时，可以将自己变成一只穴居熊（北极熊变体）。超频。当着装处于激活状态的荒野守卫护甲时，你额外获得如下增益：·你的AC再获得+1加值，变为+3。·当你被变形效应影响时，你的近战攻击检定与伤害掷骰再获得+1加值（到+3）。·当你使用此护甲以自己为目标释放“变形术”时，可以将自己变成一只守护狼。</t>
  </si>
  <si>
    <t>血怒刺青</t>
  </si>
  <si>
    <t>该魔法刺青用一根特殊的针制作，该刺青的形状与颜色能够唤起愤怒。刺青同调。同调此物品时，你需要将针持握，并抵在你想要让刺青出现的那处皮肤上。当同调完成时，针头会化为墨水再变成刺青。若你与刺青的同调结束，刺青会消失，针头会再次出现在你的位置中。嗜血狂袭。刺青具有10发充能，其在每天黎明时恢复所有已消耗的充能。当刺青在你的皮肤上时，你获得以下增益：·当你以武器攻击命中一个生物时，你可以消耗1发充能对目标造成额外的4d6暗蚀伤害，同时你恢复数值等于所造成暗蚀伤害的生命值。·当一个你可见的生物对你造成伤害时，你可以消耗1发充能并使用你的反应对那个生物发动一次近战攻击，这次攻击的攻击检定具有优势。</t>
  </si>
  <si>
    <t>魔异盒</t>
  </si>
  <si>
    <t>碰触这个华丽木器1分钟的生物获得短休息的好处。该生物也获得祝福术bless的效果，直到该生物完成下一次短或长休息。该生物在完成长休息之前，不能再获得这些好处。如果容器被打开，在表格上掷骰来决定会发生什么。容器施放的任何法术豁免DC均为17。容器被打开后一分钟，它就会消失。直到24小时后，它将会重新出现，并被封印在同一位面的某处随机位置。诅咒。任何从容器中获得短休息好处的生物都会听到从它身上传来阴森的心灵感应低语。该生物必须通过DC17的感知豁免检定。豁免失败时，该生物会被容器魅惑1小时。被魅惑的生物会尽其所能的去打开容器。豁免成功时，该生物对容器的耳语免疫24小时。</t>
  </si>
  <si>
    <t>反魔法装甲</t>
  </si>
  <si>
    <t>穿着这套护甲期间，你进行对抗法术的豁免时，你可以用反应让本次豁免具有优势。此属性一旦被使用，直到次日黎明前都无法被再次使用。此外，穿着这套护甲期间，你可以用它施展法术“反魔法力场Antimagic Field”，无需法术成分。此属性一旦被使用，直到次日黎明前都无法被再次使用。</t>
  </si>
  <si>
    <t>斩首剑</t>
  </si>
  <si>
    <t>你使用此魔法武器发动的攻击检定和伤害掷骰获得+3加值，并忽略挥砍抗性。当你命中一名有头生物并投出20时，你砍下该生物的一颗头。如果该生物无法在失去头的情况下生存，则它将随之死亡。免疫挥砍伤害、没有头、不需要头、有传奇特性或DM认为体型太大无法被斩首的生物免疫斩首效应，但额外受到6d8点挥砍伤害（并因重击而翻倍为12d8点）。</t>
  </si>
  <si>
    <t>伊格薇尔伏恶魔志</t>
  </si>
  <si>
    <t>魔爪意志</t>
  </si>
  <si>
    <t>灵马哨笛（成年金龙）</t>
  </si>
  <si>
    <t>神圣复仇者</t>
  </si>
  <si>
    <t>你用此魔法武器发动的攻击检定和伤害掷骰获得+3加值。当你用此剑命中邪魔或不死生物时，该生物将受额外2d10点光耀伤害。持握此剑时，它在你周围产生10尺半径的灵光。你和灵光范围内其他友方生物为对抗法术和其他魔法效应而作的豁免检定具有优势。圣武士职业等级第12级起，该灵光的作用范围扩展至30尺；圣武士职业等级第18级起，该灵光的作用范围扩展至60尺。</t>
  </si>
  <si>
    <t>提亚马特连枷</t>
  </si>
  <si>
    <t>这把魔法连枷是按照提亚马特的形象制成的，有着五个参差不齐的龙头，如同五种不同的色彩龙的头部的造型。你用这把连枷进行的攻击检定和伤害掷骰获得+3加值，当你用它进行的攻击检定击中一个目标时，目标受到额外5d4由你选择的一种如下选项类型的伤害：强酸，冷冻，火焰，闪电或毒素。当你持用这把连枷时，可以用一个动作说出一个命令语，使龙头呼出一团 90尺锥型的多彩烈焰。范围内的每个生物必须进行一次DC18的敏捷豁免。失败则要承受14d6一种如下选项类型的伤害：强酸，冷冻，火焰，闪电或毒素。成功则只承受一半伤害。一旦使用了此动作，直到下次黎明之前不能再使用。</t>
  </si>
  <si>
    <t>矮人王圣斧</t>
  </si>
  <si>
    <t>击溃者</t>
  </si>
  <si>
    <t>艾菲西斯，倪勒娅之弓</t>
  </si>
  <si>
    <t>风暴腰带</t>
  </si>
  <si>
    <t>风暴腰带是一根厚厚的皮制粗腰带，上面雕刻着寇德的圣徽。腰带扣由龙牙制成。休眠。当着装处于休眠状态的风暴腰带时，你获得如下增益：·你获得对雷鸣，闪电伤害的抗性。·你的力量值+2，不能超过24。·你可以用一个动作变身为风暴化身。变身期间，你将获得如下增益：1、你免疫雷鸣，闪电伤害。2、当你使用原本会造成钝击伤害的武器击中敌人时，武器将对其造成雷鸣伤害。当你使用原本会造成穿刺或挥砍伤害的武器击中敌人时，武器将对其造成闪电伤害。3、以一个附赠动作，你可以选择一个距离你30尺内的可见生物，使他被闪电击中。对方必须进行一次dc15的敏捷豁免，豁免失败者将受到3d6的闪电伤害，豁免成功则伤害减半。此后直到下一次黎明前，该特性都无法再次使用。变身将持续1分钟。激活。当着装处于激活状态的风暴腰带时，你额外获得如下增益：·你的力量值+4，不能超过26。·当处于风暴化身状态时，你拥有30尺的飞行速度，并且可以悬浮。你使用闪电击中对方时，对方必须进行一次dc15的敏捷豁免，豁免失败者将受到4d6的闪电伤害，豁免成功则伤害减半。超频。当着装处于超频状态的风暴腰带时，你额外获得如下增益：·你的力量值+6，不能超过28。·当处于风暴化身状态时，你使用闪电击中对方时，对方必须进行一次dc15的敏捷豁免，豁免失败者将受到5d6的闪电伤害，豁免成功则伤害减半。·你可以施放法术“操控天气”。直到次日黎明前，风暴腰带都无法再次以该方式使用。</t>
  </si>
  <si>
    <t>圣洁之书</t>
  </si>
  <si>
    <t>绘画世界卷轴</t>
  </si>
  <si>
    <t>长100尺、高30尺的巨大卷轴，尽管是平面的，却能通过透视画法展现出30尺的景深。绘画世界卷轴被发现时经常是空白的，除非使用“诺泽尔的惊奇颜料”，否则没有办法在卷轴上留下字迹或图画。绘画世界卷轴实际上对应了一个半位面（10000尺×3000尺×3000尺）。画在卷轴上的内容，会被100倍放大呈现在半位面中。绘画者可以在卷轴上画出一些违反物质位面的物理法则的现象（例如沉入水中的鹅毛、深夜的太阳、怀孕的男人），而半位面的物理法则会随之改变，以适应这种现象。为卷轴涂抹上最后一笔颜料的生物，可以在完成绘画时指定一个密语。生物在卷轴附近5尺内，以一个动作说出密语，可以传送进入这个半位面；在这个半位面中的生物，以一个动作说出密语，可以传送到卷轴附近5尺内一处未被占据的空间。</t>
  </si>
  <si>
    <t>凯斯之剑</t>
  </si>
  <si>
    <t>戴刻拉，塔萨的双叉戟</t>
  </si>
  <si>
    <t>塔萨Thassa手持戴刻拉，普罗烽斯赠予她的双叉戟。当海神将她的武器赐予一个凡人时，通常是为了让他们在远离海洋的地方执行她的意志，纠正某些会影响到她庇护之人的错误，或者让一个凡人认识到她可怕的责任。深海之戟。塔萨的招牌武器随着深海的冰流而颤动。这把武器的功能就像一把三叉戟，对用它进行的攻击和伤害检定给予+3的加值。当你用三叉戟攻击命中时，目标会受到额外的2d10寒冷伤害。深渊之祝福。如果你是塔萨的崇拜者，你将获得以下所有你满足虔信值需求的好处。虔信值10+。你可以在水下呼吸，你获得60尺的游泳速度。虔信值25+。双叉戟获得1个随机弱小增益属性。虔信值50+。双叉戟获得1个随机强效增益属性。如果你不是塔萨的崇拜者，该双叉戟获得1个弱效减益属性和1个强效减益属性，均为随机决定。支配深渊。双叉戟拥有指挥海浪及其中生物的力量。作为一个动作，你可以改变你周围1里范围内的海面状况，制造强风和暴雨，造成剧烈的波浪（参见《地下城主指南》第5章的 "海上天气"），或者平息一场风暴。无论哪种情况，非自然天气都会持续1小时后恢复正常。一旦使用，双戟的这一属性在下一个黄昏前不能再次使用。此外，你还可以从双叉戟上施放支配怪物法术（豁免DC18），但只能对具有天生游速的野兽和怪兽施放。一旦使用，双叉戟的这一属性在下个黄昏前不能再次使用。水生变形术。你可以从双叉戟上施放“完全变形术True Polymorph”（豁免DC18），但你必须对一个生物施放，使其变成一种具有天生游泳速度的生物。一旦使用，双叉戟的这个属性在下一个黄昏前不能再使用。摧毁双叉戟。要摧毁双叉戟，必须用远古红龙的气息将其加热，然后趁热将其浸入塔提克斯河Tartyx中。</t>
  </si>
  <si>
    <t>埃提耶什</t>
  </si>
  <si>
    <t>埃提耶什·守护者的传说之杖，用憎恨之种制造而成，曾经为历代奥法守护者所拥有。后来，埃提耶什在一场灾难中变为了散落大陆的碎片，直到有英雄将碎片集齐，修复后的法杖重见天日。持用者每次施展一个法术时，都可以召唤出一个挑战等级与该法术环阶相等的怪物，为持用者效力，持续1分钟。其中，CR0的怪物必定为“渡鸦Raven”，CR1到CR9的怪物从下表中掷D8骰随机决定。埃提耶什所召唤的怪物最多同时存在三只。当第四只怪物被召唤时，最先召唤的那只怪物会消失。</t>
  </si>
  <si>
    <t>静语卷册</t>
  </si>
  <si>
    <t>这本厚重皮革包覆的卷册封面上钉着一条风干的舌头。共存在5本这样的卷册，但无人知晓哪本才是原版。巫妖神，守秘者维克那Vecna将一名背叛他的仆人的舌头割下，制作了原版静语卷册封面的可怕装饰。其它四本复制品封面的舌头则来自于冒犯了维克那的施法者。卷册的前几页充满了无法理解的草稿，剩余的页则空白如新。同调此卷册的人可以用它作为法术书和法器。持握此书时，你可以用一个附赠动作施展一个记录在书中的法术，而无需提供言语和姿势构材，也无需消耗法术位。此后该属性直到次日黎明前都无法再次启动。与卷册同调时，你可以移除书封面的舌头，这将永久抹消书中记录的所有法术。维克那留意着任何使用卷册的人。他可以向书内写入密文。这些密文会在午夜出现，在被人阅读后即消失不见。</t>
  </si>
  <si>
    <t>黑冠之锤</t>
  </si>
  <si>
    <t>芭芭·雅嘎的臼与杵</t>
  </si>
  <si>
    <t>超魔权杖（法术瞬发）</t>
  </si>
  <si>
    <t>超魔权杖（双重法术）</t>
  </si>
  <si>
    <t>克鲁索尔，赫利欧德的长矛</t>
  </si>
  <si>
    <t>赫利欧德Heliod手持克鲁索尔，一柄拥有太阳之力的长矛。在他手中，它可以从尼兹Nyx投掷到塞洛斯的任何地方。当赫利欧德将他的武器借给凡人时，通常是为了让他们以他的名义完成一些伟大的工作，或者作为对他们价值的测试。阳炎之矛。此矛对使用它进行的攻击和伤害检定给予+3的加值。当你用此矛攻击时，目标会受到额外的2d8光耀伤害。太阳之祝福。如果你是赫利欧德的崇拜者，你将获得以下所有你满足虔信值前提的好处。虔信值3+。你在每个黎明获得15点临时生命。虔信值10+。长矛获得1个随机弱效增益属性。虔信值25+。长矛再获得1个额外的随机弱效增益属性。虔信值50+。长矛获得1个随机强效增益属性。如果你不是赫利欧德的崇拜者，长矛获得2个随机强效减益属性。发光。长矛在半径30尺的范围内提供明亮照明，以及另外30尺范围的黯淡照明。光线被视为阳光。烈阳复仇。当你受到来自5尺范围内生物的伤害时，你可以利用你的反应，用长矛对该生物进行一次近战攻击。命中后，长矛照常造成伤害，并使该生物失明，直到其下一回合开始。长矛的这个属性在下一个黎明前不能再次使用。法术。长矛有10发充能。当你持握它的时候，你可以用一个动作消耗它的1发或更多充能来施放以下的一个法术（豁免DC18）：曳光弹guiding bolt (1发）, 昼明术daylight (3 发, 只能以长矛尖端为目标), 阳炎射线sunbeam (6 发)。长矛每天在黎明时恢复1d6+4消耗的充能。摧毁长矛。如果被带到提泽拉司境Tizerus的厄睿柏斯宫殿，并用来向厄睿柏斯献祭赫利欧德的斗士，克鲁索尔要么被摧毁，要么从根本上扭曲为厄睿柏斯服务。</t>
  </si>
  <si>
    <t>灵马哨笛（麒麟）</t>
  </si>
  <si>
    <t>耐瑟卷轴</t>
  </si>
  <si>
    <t>上古造物者种族，在黄金蛇皮卷轴上记录了它们对于魔法的研究。耐瑟帝国的奥术师们曾经窥探其中的奥秘，因此该种卷轴也被称为耐瑟卷轴。耐瑟卷轴需要耗费30日专心学习——每日至少8小时——来试图理解这份卷轴。在完成研究后，你能进行一次DC25的智力（奥秘）检定。如果检定失败，你受到16d10点心灵伤害，而你能再花费另外30日进行对它的专心研究。当检定成功时，你获得以下增益：·你的智力值和智力上限提升2。一旦你获得此增益，你无法再使用卷轴提升你的智力。·你在对抗魔法效应的豁免检定中获得优势。当你获得卷轴的增益后，卷轴消失。一具石魔像魔法地出现在距离你60尺内一处未被占据的空间，并作为你的盟友行动。如果你死亡，魔像会化作尘埃。</t>
  </si>
  <si>
    <t>龙怒武器（神化）</t>
  </si>
  <si>
    <t>这种武器装饰有龙头，爪子，翅膀，鳞片，或龙语文字。它进入巨龙宝库后会吸收龙的吐息武器的能量，并用它的特性造成这种类型的伤害。 
    沉睡。当你使用此武器进行攻击检定掷出20时，目标5英尺内每个你选择的生物都受到和龙的吐息武器相同类型的5伤害。
    激活。激活的武器具有沉睡状态的特性。此外，你使用该武器的攻击检定和伤害掷骰获得+1，每次攻击命中时该武器造成与龙息武器相同类型的额外1d6伤害。
    觉醒。觉醒的武器具有沉睡状态的特性，并且在沉睡状态的特性上有所提升。攻击检定和伤害掷骰的加值增加到+2，武器造成的额外伤害增加到2d6。以一个动作，你可以从武器中释放出 30尺锥形的毁灭性能量。该区域内的每个生物必须进行一次DC 16的敏捷豁免，豁免失败时受到龙息武器造成的8d6伤害，豁免成功时受到的伤害减半。一旦这个动作被使用，直到下一个黎明前它不能再次使用。
    神化。神化的武器拥有沉睡状态的特性，并在激活和觉醒状态的特性上有所提升。攻击检定和伤害掷骰的加值增加到+3，武器造成的额外伤害增加到3d6。武器的锥形毁灭性能量增加到60尺，豁免DC增加到18。伤害增加到12d6。</t>
  </si>
  <si>
    <t>鲁芭的灵魂塔罗卡</t>
  </si>
  <si>
    <t>达文-纳之牙</t>
  </si>
  <si>
    <t>琉克欧的非凡机仆</t>
  </si>
  <si>
    <t>毁灭残迹</t>
  </si>
  <si>
    <t>这把矛以一头远古金龙的白骨制成，雕刻着兽人对格乌什的赞美诗。智能。毁灭残迹是一把混乱邪恶的智能魔法武器。它的智力为20，感知16。它的听觉和黑暗视觉的感官范围为120尺。这把武器能够与持有者通过心灵感应进行交流，能够说、读和理解深渊语、通用语和兽人语。个性。一个名叫雅罗维许Yarrowish的嗜杀巴洛炎魔寄宿于毁灭残迹内。这把武器只渴望饮血，并推动其拥有者以暴力解决问题。休眠。当矛处于休眠状态时，将获得如下增益：·你能说，读，写深渊语和兽人语。·使用该魔法武器发动攻击检定和伤害掷骰时具有+1加值，并且它会对任何命中的目标附加额外的1d8穿刺伤害。用该魔法武器发动远程攻击后，会立刻返回到你的手里。·当你被一次近战攻击命中时，你可以用一个反应，用毁灭残迹对攻击者发动一次带有优势的攻击。你不能再使用这个能力，直到你完成一次短休或长休。激活。当矛处于激活状态时，将获得如下增益：·该魔法武器的攻击检定和伤害掷骰的加值增至+2，且造成的额外穿刺伤害增至2d8。·当你投掷这把矛并说出命令语时，它将转变为一道5尺宽的闪电束，向120尺内的某个目标飞去。闪电经过的直线上除你和目标之外的每个生物必须进行一次DC 15的敏捷豁免，失败则受8d6的闪电伤害，成功则伤害减半。毁灭残迹之后便返回你的手里。这项能力直到下次黎明前不能再使用。超频。当矛处于超频状态时，将获得如下增益：·该魔法武器的攻击检定和伤害掷骰的加值增至+3。·当你持握这把矛时，你可以用附赠动作发出一声战吼。每个你选择的距离你30尺以内的生物在你的下一轮前在攻击检定上获得优势。这项能力直到下次黎明前不能再使用。·当你用这把矛发动攻击并将一个生物的生命值变为0时，你可以恢复相当于你在这次攻击所造成伤害的生命值。这项能力直到下次黎明前不能再使用。</t>
  </si>
  <si>
    <t>这枚戒指有3发充能。着装这枚戒指时，你可以消耗1发充能施展“祈愿术Wish”。充能用尽后，这枚戒指将变为非魔法物品。</t>
  </si>
  <si>
    <t>黑刃</t>
  </si>
  <si>
    <t>阿克曼,普罗烽斯的神锤</t>
  </si>
  <si>
    <t>普罗烽斯Purphoros的锤子可以创造奇迹，也可以制造灾难，这位锻造之神用它来创造空前的奇迹和危险的发明，而且两者数量大抵相当。普罗烽斯很少把阿克曼赐予凡人，但偶尔会把它留在他在维鲁斯山Mount Velus的锻造场。当普罗烽斯允许凡人使用这把锤子时，通常是为了让他们能够完成一项重要的工作，消灭某种破坏性力量，或者在神不受欢迎的地方锻造一些非凡的东西。锻造之锤。这把魔法战锤赋予用它进行的攻击和伤害检定+3的加值。当你用它攻击命中时，目标会受到额外的3d10火焰伤害。锻造之祝福。如果你是普佛罗斯的崇拜者，你将获得以下所有你满足虔信值需求的好处。虔信值10+。锤子获得1个随机弱效增益属性。虔信值25+。锤子获得1个随机强效有益属性。虔信值50+。锤子再获得1个额外的随机强效增益属性。如果你不是普罗烽斯的崇拜者，锤子获得2个随机确定的弱效减益属性。重新锻造。在持有锤子的时候，你对火焰伤害有抗性，并且免疫力竭exhaustion。此外，你对铁匠工具有熟练度，并在使用铁匠工具进行的所有属性检定中拥有优势。法术。当锤子在你身上的时候，你可以用动作来施放下列法术之一(豁免DC18)：活化物体animate objects，灼热金属heat metal，鬼斧神工fabricate，魔化武器magic weapon，修复术mending，粉碎音波shatter。一旦你使用锤子施展了某个法术，在下一个黄昏之前，不能再利用它施展该法术。摧毁锤子。要摧毁锤子，必须把它带到冥界的提泽拉司境Tizerus。在那里，它必须被涂上来自惩罚泥沼 Mire of Punishment的淤泥。锤子的热力会使淤泥变硬，一个月后淤泥就会与锤子融为一体。一旦完全硬化，淤泥复盖的锤子必须被克拉肯吞下并消化。</t>
  </si>
  <si>
    <t>魔网红宝石</t>
  </si>
  <si>
    <t>你可以用这块宝石作为你施法的法器。这块宝石有3发充能并且在每天黎明时恢复所有已消耗的充能。当宝石施法时，你可以消耗至多3发充能来忽视标注有价格法术材料成分，每发充能至多500gp。当你完成一次长休之后，从任何职业的法术列表中选择一个法术。这个法术必须是你当前能够施展的法术环阶。你将这个法术视为已知并且可以用你的适合环阶的法术位来施展这个法术，直到你下次长休为止。如果不使用魔网红宝石获取任何能够召唤、呼唤、创造、绑定长期存在的友方生物的法术，那么它的价格减半，变为65000gp。</t>
  </si>
  <si>
    <t>同甘共苦婚戒</t>
  </si>
  <si>
    <t>同甘共苦婚戒是一对看起来平平无奇的铂金戒指，如果让凡人来估价，恐怕不会高于100gp。但如果这对戒指被一对已经举行过“典礼术”的伴侣佩戴在各自的无名指上，那么它的神奇力量将完全激发出来。佩戴已被激发神奇力量的同甘共苦婚戒的伴侣，他们的生命值和生命值上限相加到一起，双方共同使用。另外，双方中的任何一人若获得或失去了状态表中的状态、持续性的法术效应，那么对方也会同步获得或失去。婚戒的价格为1314灵魂币，灵魂币与金币的兑换比例为1：100。</t>
  </si>
  <si>
    <t>歌剑</t>
  </si>
  <si>
    <t>安南之锛</t>
  </si>
  <si>
    <t>这把沉重的扁斧传说是由 万物之父安南 All-Father Annam 挥舞的一件神兵，万古以来，它不仅仅是武器，更是塑造万千世界之物质位面的工具。随机属性Random Properties。扁斧具有以下的随机属性：·2项弱效增益属性·1项强效增益属性·2项弱效减益属性魔法武器Magic Weapon。当一个生物与扁斧同调后，神器会魔法性的变化自己的尺寸使生物可以将其作为一把巨斧持用。扁斧是一把在攻击检定与其伤害掷骰上具有+3加值的魔法物品，且在击中时会额外造成3d12点力场伤害。此外，它对物件和建筑物造成的伤害翻倍。神圣之锄Divine Mattock。以一个动作，你可以呼唤万物之父的神力以施展法术“地震术move earth”或“鬼斧神工fabricate”。此能力一旦被使用，直到次日黎明前都无法被再次使用。破坏圣斧Destroying the Adze。破坏圣斧的唯一办法是在创造它的地心熔炉Earthheart Forge里把它熔毁。它必须在熔炉的火焰里持续燃烧五十年，直至其最终屈服于火焰并被燃烧殆尽。</t>
  </si>
  <si>
    <t>波涛</t>
  </si>
  <si>
    <t>波涛藏在白羽山的地下城中，这把精致的三叉戟上面雕有波浪、贝壳和海洋生物。尽管你必须是海神的信徒才能与其同调，但波涛 本身也会欣然接受某些新的改变。你用这把武器发动的攻击检定和伤害掷骰获得+3加值。如果你用它造成重击，目标会额外受相当于其最大生命值一半的暗蚀伤害。波涛还有跟“唤鱼三叉戟Trident of Fish Command”“警戒武器Weapon of Warning”一样的功能。你在持握它时，还可以获得如同“水下呼吸帽Cap of Water Breathing”一样的增益。你还可以用它实现“力场魔方Cube of Force”的功能，且可以直接选择其效应而无需按压魔方的各面。智能Sentience。波涛 是一把绝对中立的智能魔法武器。它的智力是14，感知10。它的听觉和黑暗视觉的感官范围为120尺。这把武器能够说、读和理解水族语Aquan，同时也能够与其持用者通过心灵感应进行交流。它可以与水生动物进行交流，如同使用了法术“动物交谈Speak with Animals”，此时还可以用心灵感应让其持用者加入对话。个性Personality。波涛 不安时它会哼唱小曲，曲子可能是船夫曲也有可能是神圣的海神赞歌。波涛渴望将凡人转变为信奉诸海神的信徒，或者一直保持无信直到死亡。如果其持用者不能秉持其目标传遍世界，它就会进行对抗。波涛对一个叫做雷铸Thunderforge的荒凉小岛有所眷恋，因为那正是它的锻造之地。一位海神曾将一个风暴巨人家族监禁在那个小岛中。这些风暴巨人便锻造出这把武器奉献给海神，或是反叛海神。波涛一直隐藏着一个关于它天性和目标的秘密。除去它对海神的忠诚，波涛 害怕自己的真正意图是杀死一名海神。而这一命运或许自己终究无法避免。</t>
  </si>
  <si>
    <t>苍白的正义</t>
  </si>
  <si>
    <t>这把剑由一名虔诚的提尔信徒所铸造，外表十分朴素，与寻常剑刃无异，其中却蕴含了强大的正义神力。铸造这把剑的目的只有一个：毁灭邪恶。你用此魔法武器发动的攻击检定和伤害掷骰获得+3加值。当你用此剑攻击邪恶阵营生物时，攻击检定和伤害掷骰再获得+3加值（总计+6）。持有此剑时，你免疫来自邪恶生物的魅惑、恐惧、支配以及变形效果。持有此剑时，你可以用一个动作释放“圣子降临”。这项能力直到下次黎明前不能再使用。如果圣武士持有此剑时破誓或者阵营转变为邪恶，苍白的正义将刺入使用者的心脏，无可阻挡地杀死使用者，摧毁他的肉体和灵魂。只有比提尔更加强大的神祇，才能复活因此死去的使用者。</t>
  </si>
  <si>
    <t>奥喀斯之杖</t>
  </si>
  <si>
    <t>奥斯沼泽的药草（木罗莎膏）</t>
  </si>
  <si>
    <t>奥斯沼泽（Othemoor）丰富原始的自然环境孕育了许多稀有的和备受追捧的药草。那些草药师、炼金术士和香料商人们经常到奥斯来给他们的店铺进行补给。以下是一些经常在奥斯中出售的药草产品：木罗莎膏Muroosa Balm。这种由木罗莎（Muroosa）制成的膏状物被认为有助于防止晒伤，然而它也是一种阻燃剂。在你的皮肤上涂抹四分之一品脱的木罗莎膏1分钟后，你将获得1小时对于火焰伤害的抗性。费用：每剂用于防晒的木罗莎膏为1 gp，给予火焰伤害抗性的木罗莎膏为一份400gp。</t>
  </si>
  <si>
    <t>抗性戒指</t>
  </si>
  <si>
    <t>抗性戒指上拥有一枚、两枚、或三枚不同种类的宝石。戒指上镶嵌的宝石种类决定抗性的种类。着装该戒指时，你获得宝石对应的类型伤害的抗性。
具有一枚宝石的抗性戒指，价格为750gp；具有两枚宝石的抗性戒指，价格为2250gp；具有三枚宝石的抗性戒指，价格为6750gp。</t>
  </si>
  <si>
    <t>免疫戒指</t>
  </si>
  <si>
    <t>免疫戒指上拥有一枚、两枚、或三枚不同种类的宝石。戒指上镶嵌的宝石种类决定免疫的种类。着装该戒指时，你获得宝石对应的类型伤害的免疫。
具有一枚宝石的免疫戒指，价格为2250gp；具有两枚宝石的免疫戒指，价格为6750gp；具有三枚宝石的免疫戒指，价格为20250gp。</t>
  </si>
  <si>
    <t>维克那法眼和魔掌</t>
  </si>
  <si>
    <t>位面游荡仪</t>
  </si>
  <si>
    <t>闪烁甲</t>
  </si>
  <si>
    <t>这件盔甲永远不会被弄脏。</t>
  </si>
  <si>
    <t>焖燃盔甲</t>
  </si>
  <si>
    <t>当你穿着时，几束无害无味的烟雾从盔甲里升起。</t>
  </si>
  <si>
    <t>表情盾</t>
  </si>
  <si>
    <t>这面盾牌的正面有一张脸。当持握这面盾牌时，你可以用一个附赠动作改变这张盾牌的表情。</t>
  </si>
  <si>
    <t>速脱甲</t>
  </si>
  <si>
    <t>你可以用一个动作脱下这套盔甲。</t>
  </si>
  <si>
    <t>水手护甲</t>
  </si>
  <si>
    <t>着装该护甲时，你获得等同于你步行速度的游泳速度。另外，当你在水下以0生命值开始你的回合时，护甲将使你向水面上升60尺。护甲表面带着鱼贝的纹饰。</t>
  </si>
  <si>
    <t>易伤护甲</t>
  </si>
  <si>
    <t>着装此护甲时，你对钝击、穿刺或挥砍中的一种伤害类型具有抗性。该伤害类型由DM决定或随机选定。
诅咒Curse。这是一件被诅咒的护甲，这一点只有在你同调此护甲或对它使用鉴定术identify时才会揭晓。同调此护甲将会使你被诅咒。卸除该护甲不会终止诅咒，只有对你施展法术移除诅咒remove curse或以类似的魔法才能将其移除。此诅咒使你对与护甲关联的三种伤害类型中的另两种具有易伤（即护甲提供抗性之外的另两种伤害类型）。</t>
  </si>
  <si>
    <t>龟壳重盾</t>
  </si>
  <si>
    <t>着装这面盾牌期间，你的AC具有+1加值。
诅咒Cursed。这件物品被诅咒了。与其同调时，其上方的诅咒会蔓延至你的身上，直至一次法术 移除诅咒Remove Curse 或类似法术被施展到了你的身上为止。诅咒期间，你无法卸下这面盾牌，也无法解除与之的同调。此外，你的行动变得无比迟缓，导致你的速度减半；你在投掷先攻的d20时永远视为骰出了1，且你无法以任何方式改变你的先攻结果。</t>
  </si>
  <si>
    <t>无重力护甲</t>
  </si>
  <si>
    <t>这套护甲具有5发充能。穿着这套护甲期间，你可以用附赠动作消耗1发充能来用这套护甲，以自己为目标施展以下法术之一：“跳跃术Jump”（1充能）或“浮空术Levitate”（2充能）。这套护甲在每日黎明时分恢复1d4+1发已被消耗的充能数。</t>
  </si>
  <si>
    <t>抗性护甲</t>
  </si>
  <si>
    <t>共有十种抗性护甲，对应强酸、冷冻、火焰、毒素、闪电、雷鸣、暗蚀、光耀、心灵、力场伤害。着装此护甲时，你对该种伤害类型具有抗性。</t>
  </si>
  <si>
    <t>妖精锻甲</t>
  </si>
  <si>
    <t>这套色彩鲜艳、花团锦簇的护甲铸成于妖精荒野之中，它充满着那个奇幻位面的诱人能量。穿着这套护甲期间，你为对抗“魅惑Charmed”状态所做的豁免具有优势。这套护甲具有3发充能。你可以消耗一发充能以用其施展法术“强迫术Compulsion”。这套护甲在每日黎明时分恢复1d3发已消耗的充能数。</t>
  </si>
  <si>
    <t>幽影锻甲</t>
  </si>
  <si>
    <t>这套奇形怪状的黑白色调护甲铸成于堕影冥界之中，它充满着那个可怕位面的幽影能量。穿着这套护甲期间，你为对抗“恐慌Frightened”状态所做的豁免具有优势。这套护甲具有3发充能。你可以消耗一发充能以用其施展法术“安定心神Calm Emotions”。这套护甲在每日黎明时分恢复1d3发已消耗的充能数。</t>
  </si>
  <si>
    <t>熔铜皮肤</t>
  </si>
  <si>
    <t>这种魔法盔甲就像一壶熔化的青铜。当你与它调谐时，青铜会附着在你的皮肤上，并塑造出轮廓。这套盔甲可以穿在普通的衣服下面，但它不会妨碍身体机能。一旦你穿上它，除非你主动脱下，否则它无法被移除。穿着此盔甲时，你对火焰伤害有抗性。盔甲也不会对敏捷（隐匿）造成劣势。</t>
  </si>
  <si>
    <t>米捷护甲</t>
  </si>
  <si>
    <t>这套护甲由米捷加固，此种合金在伊捷铸造厂中经魔力强化而成。着装该护甲时，任何命中你的重击都会改为普通命中。当某种魔法效应令你需要进行力量豁免或体质豁免来使伤害减半时，若你豁免成功则不再受到伤害。</t>
  </si>
  <si>
    <t>阵亡者护甲</t>
  </si>
  <si>
    <t>穿着这套护甲期间，你可以用其施展法术“死者交谈Speak with Dead”或是“活化死尸Animate Dead”。以此施展了法术后，直到次日黎明为止这套护甲都无法再次被用于施展这两个法术。这套盔甲会随着你灵魂的离去而消逝。若你在同调这套护甲期间死亡，这套护甲也将随之摧毁。</t>
  </si>
  <si>
    <t>最终之战护甲</t>
  </si>
  <si>
    <t>护甲散发着轻柔的光芒。着装该护甲时，你的AC 获得+1 加值。当你在着装该护甲时死亡，护甲将毁坏，并迫使你周围30尺范围内的所有天界生物，精类生物和邪魔进行一次DC15的智力豁免，失败则会被放逐回其家园位面，除非它是你所处位面的原住民。</t>
  </si>
  <si>
    <t>活体盔甲</t>
  </si>
  <si>
    <t>这件可怖的盔甲外层是黑色的几丁质，下面是红得发亮的肌腱和搏动着的血管。要与该共生体同调，你必须在同调期间一直穿着这件盔甲，让它的触手扎入你的体内。当你穿着这件盔甲时，你在AC上额外+1，且你对以下伤害具有抗性：暗蚀、毒素以及心灵。共生体：当你与活体盔甲同调时，盔甲不能从你身上脱下，你也不能主动结束对它的同调。如果你成为一个能结束诅咒的法术的目标，那么你与盔甲的同调自动结束，它将会与你的身体分离。这件盔甲需要用新鲜的血液喂养。每当你完成一次长休之后，你都必须立即将你剩余生命骰的一半（向上取整）喂给盔甲，否则就要承受1级力竭。</t>
  </si>
  <si>
    <t>购点计算器</t>
  </si>
  <si>
    <t>属性提升</t>
  </si>
  <si>
    <t>物品素材计算器</t>
  </si>
  <si>
    <t>购点/骰点值</t>
  </si>
  <si>
    <t>升级</t>
  </si>
  <si>
    <t>物品</t>
  </si>
  <si>
    <t>最终结果</t>
  </si>
  <si>
    <t>物品种类</t>
  </si>
  <si>
    <t>价格（gp）</t>
  </si>
  <si>
    <t>无机素材（份）</t>
  </si>
  <si>
    <t>有机素材（份）</t>
  </si>
  <si>
    <t>魔晶（份）</t>
  </si>
  <si>
    <t>工艺费用（gp）</t>
  </si>
  <si>
    <t>服饰（手套、护腿、斗篷、外套、帽子、鞋子）</t>
  </si>
  <si>
    <t>怪物素材计算器</t>
  </si>
  <si>
    <t>总和</t>
  </si>
  <si>
    <t>怪物等级</t>
  </si>
  <si>
    <t>怪物数量</t>
  </si>
  <si>
    <t>无机素材</t>
  </si>
  <si>
    <t>有机素材</t>
  </si>
  <si>
    <t>魔晶</t>
  </si>
  <si>
    <t>购点选项</t>
  </si>
  <si>
    <t>购点法</t>
  </si>
  <si>
    <t>剩余点数</t>
  </si>
  <si>
    <t>d20成功率计算器</t>
  </si>
  <si>
    <t>优劣情况</t>
  </si>
  <si>
    <t>加值</t>
  </si>
  <si>
    <t>目标值</t>
  </si>
  <si>
    <t>达到目标的概率</t>
  </si>
  <si>
    <t>D20</t>
  </si>
  <si>
    <t>均势</t>
  </si>
  <si>
    <t>均势失败率</t>
  </si>
  <si>
    <t>伤害计算器</t>
  </si>
  <si>
    <t>均势成功率</t>
  </si>
  <si>
    <t>骰子总数</t>
  </si>
  <si>
    <t>骰子面数</t>
  </si>
  <si>
    <t>骰值伤害1</t>
  </si>
  <si>
    <t>伤害期望（常规）</t>
  </si>
  <si>
    <t>攻击命中率计算器</t>
  </si>
  <si>
    <t>骰值伤害2</t>
  </si>
  <si>
    <t>目标AC</t>
  </si>
  <si>
    <t>命中目标的概率</t>
  </si>
  <si>
    <t>骰值伤害3</t>
  </si>
  <si>
    <t>伤害期望（重击）</t>
  </si>
  <si>
    <t>一重优势</t>
  </si>
  <si>
    <t>骰值伤害4</t>
  </si>
  <si>
    <t>重击范围</t>
  </si>
  <si>
    <t>重击的概率</t>
  </si>
  <si>
    <t>固定值伤害</t>
  </si>
  <si>
    <t>结合使用“攻击命中率计算器”和“伤害计算器”</t>
  </si>
  <si>
    <t>计算命中率、重击率之后的单次攻击伤害期望</t>
  </si>
  <si>
    <t>简易武器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</si>
</sst>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0%"/>
  </numFmts>
  <fonts count="20" x14ac:knownFonts="1">
    <font>
      <sz val="11"/>
      <color theme="1"/>
      <name val="宋体"/>
      <charset val="134"/>
      <scheme val="minor"/>
    </font>
    <font>
      <b/>
      <sz val="12"/>
      <color theme="0"/>
      <name val="微软雅黑"/>
      <charset val="134"/>
    </font>
    <font>
      <sz val="10"/>
      <color theme="0"/>
      <name val="微软雅黑"/>
      <charset val="134"/>
    </font>
    <font>
      <b/>
      <sz val="12"/>
      <color theme="1"/>
      <name val="宋体"/>
      <charset val="134"/>
    </font>
    <font>
      <sz val="12"/>
      <color theme="1"/>
      <name val="宋体"/>
      <charset val="134"/>
    </font>
    <font>
      <sz val="10"/>
      <color theme="1"/>
      <name val="Times New Roman"/>
      <charset val="134"/>
    </font>
    <font>
      <sz val="10"/>
      <color theme="1"/>
      <name val="微软雅黑"/>
      <charset val="134"/>
    </font>
    <font>
      <sz val="10"/>
      <name val="微软雅黑"/>
      <charset val="134"/>
    </font>
    <font>
      <b/>
      <sz val="12"/>
      <color rgb="FFFFFF00"/>
      <name val="微软雅黑"/>
      <charset val="134"/>
    </font>
    <font>
      <b/>
      <sz val="12"/>
      <color theme="1"/>
      <name val="微软雅黑"/>
      <charset val="134"/>
    </font>
    <font>
      <b/>
      <sz val="11"/>
      <name val="微软雅黑"/>
      <charset val="134"/>
    </font>
    <font>
      <sz val="16"/>
      <color theme="1"/>
      <name val="宋体"/>
      <charset val="134"/>
      <scheme val="minor"/>
    </font>
    <font>
      <sz val="12"/>
      <name val="宋体"/>
      <charset val="134"/>
      <scheme val="minor"/>
    </font>
    <font>
      <sz val="16"/>
      <color theme="1"/>
      <name val="宋体"/>
      <charset val="134"/>
    </font>
    <font>
      <sz val="10"/>
      <color theme="1"/>
      <name val="宋体"/>
      <charset val="134"/>
    </font>
    <font>
      <sz val="11"/>
      <name val="宋体"/>
      <charset val="134"/>
      <scheme val="minor"/>
    </font>
    <font>
      <sz val="11"/>
      <color theme="1"/>
      <name val="宋体"/>
      <charset val="134"/>
    </font>
    <font>
      <sz val="11"/>
      <color theme="1"/>
      <name val="微软雅黑"/>
      <charset val="134"/>
    </font>
    <font>
      <sz val="12"/>
      <color theme="0"/>
      <name val="微软雅黑"/>
      <charset val="134"/>
    </font>
    <font>
      <sz val="9"/>
      <name val="宋体"/>
      <charset val="134"/>
    </font>
  </fonts>
  <fills count="10">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7F7EB"/>
        <bgColor indexed="64"/>
      </patternFill>
    </fill>
    <fill>
      <patternFill patternType="solid">
        <fgColor theme="0"/>
        <bgColor indexed="64"/>
      </patternFill>
    </fill>
    <fill>
      <patternFill patternType="solid">
        <fgColor rgb="FF7030A0"/>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s>
  <cellStyleXfs count="1">
    <xf numFmtId="0" fontId="0" fillId="0" borderId="0">
      <alignment vertical="center"/>
    </xf>
  </cellStyleXfs>
  <cellXfs count="232">
    <xf numFmtId="0" fontId="0" fillId="0" borderId="0" xfId="0">
      <alignment vertical="center"/>
    </xf>
    <xf numFmtId="0" fontId="0" fillId="0" borderId="1" xfId="0" applyBorder="1">
      <alignment vertical="center"/>
    </xf>
    <xf numFmtId="0" fontId="2" fillId="3" borderId="5" xfId="0" applyFont="1" applyFill="1" applyBorder="1" applyAlignment="1" applyProtection="1">
      <alignment vertical="center" wrapText="1"/>
    </xf>
    <xf numFmtId="0" fontId="0" fillId="0" borderId="0" xfId="0" applyFont="1" applyFill="1" applyAlignment="1">
      <alignment horizontal="right" vertical="center"/>
    </xf>
    <xf numFmtId="0" fontId="2" fillId="3" borderId="6" xfId="0" applyFont="1" applyFill="1" applyBorder="1" applyAlignment="1" applyProtection="1">
      <alignment vertical="center" wrapText="1"/>
    </xf>
    <xf numFmtId="0" fontId="0" fillId="4" borderId="7" xfId="0" applyFill="1" applyBorder="1" applyAlignment="1">
      <alignment horizontal="center" vertical="center"/>
    </xf>
    <xf numFmtId="0" fontId="0" fillId="5" borderId="7" xfId="0" applyFill="1" applyBorder="1" applyAlignment="1">
      <alignment horizontal="center" vertical="center"/>
    </xf>
    <xf numFmtId="0" fontId="0" fillId="0" borderId="0" xfId="0" applyAlignment="1">
      <alignment horizontal="center" vertical="center"/>
    </xf>
    <xf numFmtId="0" fontId="0" fillId="4" borderId="8" xfId="0" applyFill="1" applyBorder="1" applyAlignment="1">
      <alignment horizontal="center" vertical="center"/>
    </xf>
    <xf numFmtId="0" fontId="0" fillId="5" borderId="8" xfId="0" applyFill="1" applyBorder="1" applyAlignment="1">
      <alignment horizontal="center" vertical="center"/>
    </xf>
    <xf numFmtId="0" fontId="0" fillId="4" borderId="9" xfId="0" applyFill="1" applyBorder="1" applyAlignment="1">
      <alignment horizontal="center" vertical="center"/>
    </xf>
    <xf numFmtId="0" fontId="0" fillId="5" borderId="9" xfId="0" applyFill="1" applyBorder="1" applyAlignment="1">
      <alignment horizontal="center" vertical="center"/>
    </xf>
    <xf numFmtId="0" fontId="0" fillId="0" borderId="10" xfId="0" applyBorder="1" applyAlignment="1">
      <alignment horizontal="center" vertical="center"/>
    </xf>
    <xf numFmtId="0" fontId="0" fillId="0" borderId="10" xfId="0" applyBorder="1">
      <alignment vertical="center"/>
    </xf>
    <xf numFmtId="0" fontId="0" fillId="0" borderId="4" xfId="0" applyBorder="1">
      <alignment vertical="center"/>
    </xf>
    <xf numFmtId="0" fontId="0" fillId="0" borderId="11" xfId="0" applyBorder="1">
      <alignment vertical="center"/>
    </xf>
    <xf numFmtId="0" fontId="0" fillId="5" borderId="5" xfId="0" applyFill="1" applyBorder="1">
      <alignment vertical="center"/>
    </xf>
    <xf numFmtId="0" fontId="0" fillId="5" borderId="5" xfId="0" applyFill="1" applyBorder="1" applyAlignment="1">
      <alignment vertical="center"/>
    </xf>
    <xf numFmtId="0" fontId="2" fillId="3" borderId="9" xfId="0" applyFont="1" applyFill="1" applyBorder="1" applyAlignment="1" applyProtection="1">
      <alignment vertical="center" wrapText="1"/>
    </xf>
    <xf numFmtId="0" fontId="0" fillId="4" borderId="9" xfId="0" applyFill="1" applyBorder="1">
      <alignment vertical="center"/>
    </xf>
    <xf numFmtId="0" fontId="0" fillId="0" borderId="0" xfId="0" applyBorder="1">
      <alignment vertical="center"/>
    </xf>
    <xf numFmtId="0" fontId="0" fillId="0" borderId="10" xfId="0" applyBorder="1" applyAlignment="1">
      <alignment vertical="center"/>
    </xf>
    <xf numFmtId="0" fontId="0" fillId="0" borderId="12" xfId="0" applyBorder="1" applyAlignment="1">
      <alignment vertical="center"/>
    </xf>
    <xf numFmtId="0" fontId="0" fillId="4" borderId="5" xfId="0" applyFill="1" applyBorder="1">
      <alignment vertical="center"/>
    </xf>
    <xf numFmtId="0" fontId="0" fillId="5" borderId="13" xfId="0" applyFill="1" applyBorder="1">
      <alignment vertical="center"/>
    </xf>
    <xf numFmtId="0" fontId="0" fillId="5" borderId="11" xfId="0" applyFill="1" applyBorder="1">
      <alignment vertical="center"/>
    </xf>
    <xf numFmtId="0" fontId="0" fillId="4" borderId="14" xfId="0" applyFill="1" applyBorder="1">
      <alignment vertical="center"/>
    </xf>
    <xf numFmtId="0" fontId="0" fillId="5" borderId="10" xfId="0" applyFill="1" applyBorder="1">
      <alignment vertical="center"/>
    </xf>
    <xf numFmtId="0" fontId="0" fillId="5" borderId="12" xfId="0" applyFill="1" applyBorder="1">
      <alignment vertical="center"/>
    </xf>
    <xf numFmtId="0" fontId="2" fillId="3" borderId="6" xfId="0" applyFont="1" applyFill="1" applyBorder="1" applyAlignment="1" applyProtection="1">
      <alignment horizontal="center" vertical="center" wrapText="1"/>
    </xf>
    <xf numFmtId="0" fontId="0" fillId="0" borderId="12" xfId="0" applyBorder="1">
      <alignment vertical="center"/>
    </xf>
    <xf numFmtId="0" fontId="0" fillId="0" borderId="5" xfId="0" applyBorder="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0" xfId="0" applyAlignment="1">
      <alignment vertical="center" wrapText="1"/>
    </xf>
    <xf numFmtId="0" fontId="3" fillId="0" borderId="0" xfId="0" applyFont="1" applyBorder="1" applyAlignment="1">
      <alignment horizontal="left" vertical="center" indent="2"/>
    </xf>
    <xf numFmtId="0" fontId="4" fillId="0" borderId="0" xfId="0" applyFont="1" applyBorder="1" applyAlignment="1">
      <alignment horizontal="left" vertical="top" wrapText="1"/>
    </xf>
    <xf numFmtId="0" fontId="2" fillId="3" borderId="0" xfId="0" applyFont="1" applyFill="1" applyBorder="1" applyAlignment="1" applyProtection="1">
      <alignment vertical="center" wrapText="1"/>
    </xf>
    <xf numFmtId="0" fontId="0" fillId="5" borderId="0" xfId="0" applyFill="1" applyBorder="1">
      <alignment vertical="center"/>
    </xf>
    <xf numFmtId="0" fontId="5" fillId="0" borderId="16" xfId="0" applyFont="1" applyBorder="1" applyAlignment="1">
      <alignmen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center" vertical="top" wrapText="1"/>
    </xf>
    <xf numFmtId="0" fontId="4" fillId="0" borderId="18" xfId="0" applyFont="1" applyBorder="1" applyAlignment="1">
      <alignment horizontal="justify" vertical="top" wrapText="1" indent="1"/>
    </xf>
    <xf numFmtId="0" fontId="0" fillId="0" borderId="18" xfId="0" applyBorder="1">
      <alignment vertical="center"/>
    </xf>
    <xf numFmtId="0" fontId="0" fillId="0" borderId="17" xfId="0" applyBorder="1">
      <alignment vertical="center"/>
    </xf>
    <xf numFmtId="0" fontId="0" fillId="0" borderId="0" xfId="0" applyAlignment="1">
      <alignment vertical="center"/>
    </xf>
    <xf numFmtId="0" fontId="0" fillId="0" borderId="0" xfId="0" applyFill="1" applyBorder="1" applyAlignment="1">
      <alignment vertical="center"/>
    </xf>
    <xf numFmtId="0" fontId="0" fillId="0" borderId="0" xfId="0" applyFill="1" applyAlignment="1">
      <alignment vertical="center"/>
    </xf>
    <xf numFmtId="0" fontId="6" fillId="7" borderId="0" xfId="0" applyFont="1" applyFill="1" applyBorder="1" applyAlignment="1">
      <alignment horizontal="center" vertical="center" wrapText="1"/>
    </xf>
    <xf numFmtId="0" fontId="2" fillId="3" borderId="5" xfId="0" applyFont="1" applyFill="1" applyBorder="1" applyAlignment="1" applyProtection="1">
      <alignment horizontal="center" vertical="center" wrapText="1"/>
    </xf>
    <xf numFmtId="0" fontId="7" fillId="5" borderId="15" xfId="0" applyFont="1" applyFill="1" applyBorder="1" applyAlignment="1">
      <alignment vertical="center" wrapText="1"/>
    </xf>
    <xf numFmtId="0" fontId="7" fillId="5" borderId="15" xfId="0" applyFont="1" applyFill="1" applyBorder="1" applyAlignment="1" applyProtection="1">
      <alignment horizontal="center" vertical="center"/>
    </xf>
    <xf numFmtId="0" fontId="7" fillId="5" borderId="2" xfId="0" applyFont="1" applyFill="1" applyBorder="1" applyAlignment="1" applyProtection="1">
      <alignment horizontal="center" vertical="center"/>
    </xf>
    <xf numFmtId="0" fontId="7" fillId="5" borderId="10" xfId="0" applyFont="1" applyFill="1" applyBorder="1" applyAlignment="1" applyProtection="1">
      <alignment horizontal="center" vertical="center"/>
    </xf>
    <xf numFmtId="0" fontId="6" fillId="7" borderId="0" xfId="0" applyFont="1" applyFill="1" applyAlignment="1">
      <alignment vertical="center" wrapText="1"/>
    </xf>
    <xf numFmtId="0" fontId="6" fillId="7" borderId="0" xfId="0" applyFont="1" applyFill="1" applyBorder="1" applyAlignment="1">
      <alignment vertical="center" wrapText="1"/>
    </xf>
    <xf numFmtId="0" fontId="0" fillId="5" borderId="5" xfId="0" applyFill="1" applyBorder="1" applyAlignment="1">
      <alignment horizontal="center" vertical="center"/>
    </xf>
    <xf numFmtId="0" fontId="0" fillId="4" borderId="5" xfId="0" applyFill="1" applyBorder="1" applyAlignment="1">
      <alignment horizontal="center" vertical="center"/>
    </xf>
    <xf numFmtId="0" fontId="16" fillId="5" borderId="15" xfId="0" applyFont="1" applyFill="1" applyBorder="1" applyAlignment="1">
      <alignment vertical="center"/>
    </xf>
    <xf numFmtId="0" fontId="6" fillId="5" borderId="15" xfId="0" applyFont="1" applyFill="1" applyBorder="1" applyAlignment="1">
      <alignment horizontal="center" vertical="center" wrapText="1"/>
    </xf>
    <xf numFmtId="0" fontId="1" fillId="6" borderId="0" xfId="0" applyFont="1" applyFill="1" applyAlignment="1">
      <alignment horizontal="center" vertical="center" wrapText="1"/>
    </xf>
    <xf numFmtId="0" fontId="6" fillId="7" borderId="0" xfId="0" applyFont="1" applyFill="1" applyAlignment="1">
      <alignment horizontal="center" vertical="center" wrapText="1"/>
    </xf>
    <xf numFmtId="0" fontId="2" fillId="3" borderId="5" xfId="0" applyFont="1" applyFill="1" applyBorder="1" applyAlignment="1" applyProtection="1">
      <alignment horizontal="center" vertical="center" wrapText="1"/>
    </xf>
    <xf numFmtId="0" fontId="7" fillId="0" borderId="15" xfId="0" applyFont="1" applyFill="1" applyBorder="1" applyAlignment="1" applyProtection="1">
      <alignment horizontal="center" vertical="center" wrapText="1"/>
      <protection locked="0"/>
    </xf>
    <xf numFmtId="0" fontId="7" fillId="0" borderId="13" xfId="0" applyFont="1" applyFill="1" applyBorder="1" applyAlignment="1" applyProtection="1">
      <alignment horizontal="center" vertical="center" wrapText="1"/>
      <protection locked="0"/>
    </xf>
    <xf numFmtId="0" fontId="18" fillId="3" borderId="5" xfId="0" applyFont="1" applyFill="1" applyBorder="1" applyAlignment="1">
      <alignment horizontal="center" vertical="center" wrapText="1"/>
    </xf>
    <xf numFmtId="0" fontId="7" fillId="4" borderId="5" xfId="0" applyFont="1" applyFill="1" applyBorder="1" applyAlignment="1" applyProtection="1">
      <alignment horizontal="center" vertical="center" wrapText="1"/>
      <protection locked="0"/>
    </xf>
    <xf numFmtId="0" fontId="7" fillId="0" borderId="5" xfId="0" applyFont="1" applyFill="1" applyBorder="1" applyAlignment="1" applyProtection="1">
      <alignment horizontal="center" vertical="center" wrapText="1"/>
      <protection locked="0"/>
    </xf>
    <xf numFmtId="0" fontId="17" fillId="4" borderId="5"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7" fillId="4" borderId="15" xfId="0" applyFont="1" applyFill="1" applyBorder="1" applyAlignment="1" applyProtection="1">
      <alignment horizontal="center" vertical="center" wrapText="1"/>
      <protection locked="0"/>
    </xf>
    <xf numFmtId="0" fontId="7" fillId="4" borderId="13" xfId="0" applyFont="1" applyFill="1" applyBorder="1" applyAlignment="1" applyProtection="1">
      <alignment horizontal="center" vertical="center" wrapText="1"/>
      <protection locked="0"/>
    </xf>
    <xf numFmtId="0" fontId="7" fillId="4" borderId="6" xfId="0" applyNumberFormat="1" applyFont="1" applyFill="1" applyBorder="1" applyAlignment="1" applyProtection="1">
      <alignment horizontal="center" vertical="center" wrapText="1"/>
      <protection locked="0"/>
    </xf>
    <xf numFmtId="0" fontId="7" fillId="4" borderId="15" xfId="0" applyNumberFormat="1" applyFont="1" applyFill="1" applyBorder="1" applyAlignment="1" applyProtection="1">
      <alignment horizontal="center" vertical="center" wrapText="1"/>
      <protection locked="0"/>
    </xf>
    <xf numFmtId="0" fontId="7" fillId="4" borderId="13" xfId="0" applyNumberFormat="1" applyFont="1" applyFill="1" applyBorder="1" applyAlignment="1" applyProtection="1">
      <alignment horizontal="center" vertical="center" wrapText="1"/>
      <protection locked="0"/>
    </xf>
    <xf numFmtId="0" fontId="7" fillId="8" borderId="6" xfId="0" applyNumberFormat="1" applyFont="1" applyFill="1" applyBorder="1" applyAlignment="1" applyProtection="1">
      <alignment horizontal="center" vertical="center" wrapText="1"/>
      <protection locked="0"/>
    </xf>
    <xf numFmtId="0" fontId="7" fillId="8" borderId="15" xfId="0" applyNumberFormat="1" applyFont="1" applyFill="1" applyBorder="1" applyAlignment="1" applyProtection="1">
      <alignment horizontal="center" vertical="center" wrapText="1"/>
      <protection locked="0"/>
    </xf>
    <xf numFmtId="0" fontId="7" fillId="8" borderId="13" xfId="0" applyNumberFormat="1" applyFont="1" applyFill="1" applyBorder="1" applyAlignment="1" applyProtection="1">
      <alignment horizontal="center" vertical="center" wrapText="1"/>
      <protection locked="0"/>
    </xf>
    <xf numFmtId="0" fontId="18" fillId="3" borderId="5" xfId="0" applyFont="1" applyFill="1" applyBorder="1" applyAlignment="1" applyProtection="1">
      <alignment horizontal="center" vertical="center" wrapText="1"/>
    </xf>
    <xf numFmtId="0" fontId="2" fillId="3" borderId="5" xfId="0" applyFont="1" applyFill="1" applyBorder="1" applyAlignment="1">
      <alignment horizontal="center" vertical="center" wrapText="1"/>
    </xf>
    <xf numFmtId="0" fontId="7" fillId="0" borderId="1" xfId="0"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protection locked="0"/>
    </xf>
    <xf numFmtId="0" fontId="7" fillId="0" borderId="4" xfId="0"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wrapText="1"/>
      <protection locked="0"/>
    </xf>
    <xf numFmtId="0" fontId="7" fillId="0" borderId="11" xfId="0" applyFont="1" applyFill="1" applyBorder="1" applyAlignment="1" applyProtection="1">
      <alignment horizontal="center" vertical="center" wrapText="1"/>
      <protection locked="0"/>
    </xf>
    <xf numFmtId="0" fontId="7" fillId="0" borderId="14" xfId="0" applyFont="1" applyFill="1" applyBorder="1" applyAlignment="1" applyProtection="1">
      <alignment horizontal="center" vertical="center" wrapText="1"/>
      <protection locked="0"/>
    </xf>
    <xf numFmtId="0" fontId="7" fillId="0" borderId="10" xfId="0" applyFont="1" applyFill="1" applyBorder="1" applyAlignment="1" applyProtection="1">
      <alignment horizontal="center" vertical="center" wrapText="1"/>
      <protection locked="0"/>
    </xf>
    <xf numFmtId="0" fontId="7" fillId="0" borderId="12" xfId="0" applyFont="1" applyFill="1" applyBorder="1" applyAlignment="1" applyProtection="1">
      <alignment horizontal="center" vertical="center" wrapText="1"/>
      <protection locked="0"/>
    </xf>
    <xf numFmtId="0" fontId="1" fillId="2" borderId="0" xfId="0" applyFont="1" applyFill="1" applyAlignment="1">
      <alignment horizontal="center" vertical="center" wrapText="1"/>
    </xf>
    <xf numFmtId="0" fontId="6" fillId="7" borderId="0" xfId="0" applyFont="1" applyFill="1" applyAlignment="1">
      <alignment horizontal="left" vertical="center" wrapText="1"/>
    </xf>
    <xf numFmtId="0" fontId="6" fillId="0" borderId="5" xfId="0" applyFont="1" applyFill="1" applyBorder="1" applyAlignment="1">
      <alignment horizontal="center" vertical="center" wrapText="1"/>
    </xf>
    <xf numFmtId="0" fontId="2" fillId="3" borderId="6" xfId="0" applyFont="1" applyFill="1" applyBorder="1" applyAlignment="1" applyProtection="1">
      <alignment horizontal="center" vertical="center" wrapText="1"/>
    </xf>
    <xf numFmtId="0" fontId="2" fillId="3" borderId="15" xfId="0" applyFont="1" applyFill="1" applyBorder="1" applyAlignment="1" applyProtection="1">
      <alignment horizontal="center" vertical="center" wrapText="1"/>
    </xf>
    <xf numFmtId="0" fontId="2" fillId="3" borderId="13" xfId="0" applyFont="1" applyFill="1" applyBorder="1" applyAlignment="1" applyProtection="1">
      <alignment horizontal="center" vertical="center" wrapText="1"/>
    </xf>
    <xf numFmtId="0" fontId="6" fillId="8"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15" fillId="4"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5" xfId="0" applyFont="1" applyFill="1" applyBorder="1" applyAlignment="1">
      <alignment horizontal="center" vertical="center"/>
    </xf>
    <xf numFmtId="0" fontId="0" fillId="4" borderId="6" xfId="0" applyFill="1" applyBorder="1" applyAlignment="1">
      <alignment horizontal="center" vertical="center"/>
    </xf>
    <xf numFmtId="0" fontId="0" fillId="4" borderId="15" xfId="0" applyFill="1" applyBorder="1" applyAlignment="1">
      <alignment horizontal="center" vertical="center"/>
    </xf>
    <xf numFmtId="0" fontId="0" fillId="4" borderId="13" xfId="0" applyFill="1" applyBorder="1" applyAlignment="1">
      <alignment horizontal="center" vertical="center"/>
    </xf>
    <xf numFmtId="0" fontId="15" fillId="4" borderId="6"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3" xfId="0" applyFont="1" applyFill="1" applyBorder="1" applyAlignment="1">
      <alignment horizontal="center" vertical="center"/>
    </xf>
    <xf numFmtId="0" fontId="0" fillId="0" borderId="6" xfId="0" applyFill="1" applyBorder="1" applyAlignment="1">
      <alignment horizontal="center" vertical="center"/>
    </xf>
    <xf numFmtId="0" fontId="0" fillId="0" borderId="15" xfId="0" applyFill="1" applyBorder="1" applyAlignment="1">
      <alignment horizontal="center" vertical="center"/>
    </xf>
    <xf numFmtId="0" fontId="0" fillId="0" borderId="13" xfId="0" applyFill="1" applyBorder="1" applyAlignment="1">
      <alignment horizontal="center" vertical="center"/>
    </xf>
    <xf numFmtId="0" fontId="14" fillId="0" borderId="6" xfId="0" applyFont="1" applyBorder="1" applyAlignment="1">
      <alignment horizontal="center" vertical="center"/>
    </xf>
    <xf numFmtId="0" fontId="14" fillId="0" borderId="15" xfId="0" applyFont="1" applyBorder="1" applyAlignment="1">
      <alignment horizontal="center" vertical="center"/>
    </xf>
    <xf numFmtId="0" fontId="14" fillId="5" borderId="15"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2" fillId="3" borderId="2" xfId="0" applyFont="1" applyFill="1" applyBorder="1" applyAlignment="1" applyProtection="1">
      <alignment horizontal="center" vertical="center" wrapText="1"/>
    </xf>
    <xf numFmtId="0" fontId="0" fillId="0" borderId="6"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5" borderId="6" xfId="0" applyFill="1" applyBorder="1" applyAlignment="1">
      <alignment horizontal="center" vertical="center"/>
    </xf>
    <xf numFmtId="0" fontId="0" fillId="5" borderId="15" xfId="0" applyFill="1" applyBorder="1" applyAlignment="1">
      <alignment horizontal="center" vertical="center"/>
    </xf>
    <xf numFmtId="0" fontId="0" fillId="5" borderId="13" xfId="0" applyFill="1" applyBorder="1" applyAlignment="1">
      <alignment horizontal="center" vertical="center"/>
    </xf>
    <xf numFmtId="0" fontId="6" fillId="4"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9" xfId="0" applyFont="1" applyBorder="1" applyAlignment="1">
      <alignment horizontal="center" vertical="center"/>
    </xf>
    <xf numFmtId="0" fontId="11" fillId="5" borderId="7" xfId="0" applyFont="1" applyFill="1" applyBorder="1" applyAlignment="1">
      <alignment horizontal="center" vertical="center"/>
    </xf>
    <xf numFmtId="0" fontId="11" fillId="5" borderId="9"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9" xfId="0" applyFont="1" applyFill="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16" fillId="5" borderId="2" xfId="0" applyFont="1" applyFill="1" applyBorder="1" applyAlignment="1">
      <alignment horizontal="center" vertical="center"/>
    </xf>
    <xf numFmtId="0" fontId="16" fillId="5" borderId="0" xfId="0" applyFont="1" applyFill="1" applyBorder="1" applyAlignment="1">
      <alignment horizontal="center" vertical="center"/>
    </xf>
    <xf numFmtId="0" fontId="2" fillId="3" borderId="0" xfId="0" applyFont="1" applyFill="1" applyAlignment="1" applyProtection="1">
      <alignment horizontal="center" vertical="center" wrapText="1"/>
    </xf>
    <xf numFmtId="0" fontId="2" fillId="3" borderId="1" xfId="0" applyFont="1" applyFill="1" applyBorder="1" applyAlignment="1" applyProtection="1">
      <alignment horizontal="center" vertical="center" wrapText="1"/>
    </xf>
    <xf numFmtId="0" fontId="2" fillId="3" borderId="14" xfId="0" applyFont="1" applyFill="1" applyBorder="1" applyAlignment="1" applyProtection="1">
      <alignment horizontal="center" vertical="center" wrapText="1"/>
    </xf>
    <xf numFmtId="0" fontId="2" fillId="3" borderId="10" xfId="0" applyFont="1" applyFill="1" applyBorder="1" applyAlignment="1" applyProtection="1">
      <alignment horizontal="center" vertical="center" wrapText="1"/>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0" xfId="0" applyFont="1" applyFill="1" applyBorder="1" applyAlignment="1">
      <alignment horizontal="center" vertical="center"/>
    </xf>
    <xf numFmtId="0" fontId="13" fillId="5" borderId="11" xfId="0" applyFont="1" applyFill="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0" xfId="0" applyFont="1" applyBorder="1" applyAlignment="1">
      <alignment horizontal="center" vertical="center"/>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1" fillId="5" borderId="5"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14"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2" xfId="0" applyFont="1" applyFill="1" applyBorder="1" applyAlignment="1">
      <alignment horizontal="center" vertical="center"/>
    </xf>
    <xf numFmtId="0" fontId="2" fillId="3" borderId="4" xfId="0" applyFont="1" applyFill="1" applyBorder="1" applyAlignment="1" applyProtection="1">
      <alignment horizontal="center" vertical="center" wrapText="1"/>
    </xf>
    <xf numFmtId="0" fontId="6" fillId="0" borderId="4" xfId="0" applyFont="1" applyFill="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0" fontId="0" fillId="5" borderId="5" xfId="0" applyFill="1" applyBorder="1" applyAlignment="1">
      <alignment horizontal="center" vertical="center"/>
    </xf>
    <xf numFmtId="0" fontId="2" fillId="3" borderId="7" xfId="0" applyFont="1" applyFill="1" applyBorder="1" applyAlignment="1" applyProtection="1">
      <alignment horizontal="center" vertical="center" wrapText="1"/>
    </xf>
    <xf numFmtId="0" fontId="0" fillId="5" borderId="7" xfId="0" applyFill="1" applyBorder="1" applyAlignment="1">
      <alignment horizontal="center" vertical="center"/>
    </xf>
    <xf numFmtId="0" fontId="0" fillId="4" borderId="5" xfId="0" applyFill="1" applyBorder="1" applyAlignment="1">
      <alignment horizontal="center" vertical="center"/>
    </xf>
    <xf numFmtId="0" fontId="6" fillId="7" borderId="0" xfId="0" applyFont="1" applyFill="1" applyAlignment="1">
      <alignment horizontal="center" vertical="center"/>
    </xf>
    <xf numFmtId="0" fontId="7" fillId="4"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8" fillId="9" borderId="5" xfId="0" applyFont="1" applyFill="1" applyBorder="1" applyAlignment="1" applyProtection="1">
      <alignment horizontal="center" vertical="center"/>
    </xf>
    <xf numFmtId="0" fontId="9" fillId="5" borderId="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3" xfId="0" applyFont="1" applyFill="1" applyBorder="1" applyAlignment="1">
      <alignment horizontal="center" vertical="center"/>
    </xf>
    <xf numFmtId="0" fontId="10" fillId="0" borderId="6" xfId="0" applyFont="1" applyFill="1" applyBorder="1" applyAlignment="1" applyProtection="1">
      <alignment horizontal="right" vertical="center"/>
      <protection locked="0"/>
    </xf>
    <xf numFmtId="0" fontId="10" fillId="0" borderId="15" xfId="0" applyFont="1" applyFill="1" applyBorder="1" applyAlignment="1" applyProtection="1">
      <alignment horizontal="right" vertical="center"/>
      <protection locked="0"/>
    </xf>
    <xf numFmtId="0" fontId="10" fillId="5" borderId="15" xfId="0" applyFont="1" applyFill="1" applyBorder="1" applyAlignment="1" applyProtection="1">
      <alignment horizontal="left" vertical="center"/>
      <protection locked="0"/>
    </xf>
    <xf numFmtId="0" fontId="10" fillId="5" borderId="13" xfId="0" applyFont="1" applyFill="1" applyBorder="1" applyAlignment="1" applyProtection="1">
      <alignment horizontal="left" vertical="center"/>
      <protection locked="0"/>
    </xf>
    <xf numFmtId="0" fontId="6" fillId="8" borderId="6"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10" fillId="0" borderId="1" xfId="0" applyFont="1" applyFill="1" applyBorder="1" applyAlignment="1" applyProtection="1">
      <alignment horizontal="right" vertical="center"/>
      <protection locked="0"/>
    </xf>
    <xf numFmtId="0" fontId="10" fillId="0" borderId="2" xfId="0" applyFont="1" applyFill="1" applyBorder="1" applyAlignment="1" applyProtection="1">
      <alignment horizontal="right" vertical="center"/>
      <protection locked="0"/>
    </xf>
    <xf numFmtId="0" fontId="10" fillId="5" borderId="2" xfId="0" applyFont="1" applyFill="1" applyBorder="1" applyAlignment="1" applyProtection="1">
      <alignment horizontal="left" vertical="center"/>
      <protection locked="0"/>
    </xf>
    <xf numFmtId="0" fontId="10" fillId="5" borderId="3" xfId="0" applyFont="1" applyFill="1" applyBorder="1" applyAlignment="1" applyProtection="1">
      <alignment horizontal="left" vertical="center"/>
      <protection locked="0"/>
    </xf>
    <xf numFmtId="0" fontId="8" fillId="9" borderId="6" xfId="0" applyFont="1" applyFill="1" applyBorder="1" applyAlignment="1" applyProtection="1">
      <alignment horizontal="center" vertical="center"/>
    </xf>
    <xf numFmtId="0" fontId="10" fillId="0" borderId="14" xfId="0" applyFont="1" applyFill="1" applyBorder="1" applyAlignment="1" applyProtection="1">
      <alignment horizontal="right" vertical="center"/>
      <protection locked="0"/>
    </xf>
    <xf numFmtId="0" fontId="10" fillId="0" borderId="10" xfId="0" applyFont="1" applyFill="1" applyBorder="1" applyAlignment="1" applyProtection="1">
      <alignment horizontal="right" vertical="center"/>
      <protection locked="0"/>
    </xf>
    <xf numFmtId="0" fontId="10" fillId="5" borderId="10" xfId="0" applyFont="1" applyFill="1" applyBorder="1" applyAlignment="1" applyProtection="1">
      <alignment horizontal="left" vertical="center"/>
      <protection locked="0"/>
    </xf>
    <xf numFmtId="0" fontId="10" fillId="5" borderId="12" xfId="0" applyFont="1" applyFill="1" applyBorder="1" applyAlignment="1" applyProtection="1">
      <alignment horizontal="left" vertical="center"/>
      <protection locked="0"/>
    </xf>
    <xf numFmtId="0" fontId="2" fillId="0" borderId="15"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78" fontId="0" fillId="5" borderId="6" xfId="0" applyNumberFormat="1" applyFill="1" applyBorder="1" applyAlignment="1">
      <alignment horizontal="center" vertical="center"/>
    </xf>
    <xf numFmtId="178" fontId="0" fillId="5" borderId="13" xfId="0" applyNumberFormat="1" applyFill="1" applyBorder="1" applyAlignment="1">
      <alignment horizontal="center" vertical="center"/>
    </xf>
    <xf numFmtId="178" fontId="0" fillId="5" borderId="1" xfId="0" applyNumberFormat="1" applyFill="1" applyBorder="1" applyAlignment="1">
      <alignment horizontal="center" vertical="center"/>
    </xf>
    <xf numFmtId="0" fontId="0" fillId="0" borderId="5"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 /><Relationship Id="rId1" Type="http://schemas.openxmlformats.org/officeDocument/2006/relationships/vmlDrawing" Target="../drawings/vmlDrawing3.vml" /></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 /><Relationship Id="rId1"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Y59"/>
  <sheetViews>
    <sheetView topLeftCell="AJ1" workbookViewId="0">
      <selection activeCell="U43" sqref="U43"/>
    </sheetView>
  </sheetViews>
  <sheetFormatPr defaultColWidth="2.7265625" defaultRowHeight="13.5" x14ac:dyDescent="0.1"/>
  <cols>
    <col min="1" max="1" width="2.7265625" customWidth="1"/>
  </cols>
  <sheetData>
    <row r="1" spans="1:77" ht="17.25" x14ac:dyDescent="0.1">
      <c r="A1" s="63" t="s">
        <v>0</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51"/>
      <c r="BD1" s="51"/>
      <c r="BE1" s="51"/>
      <c r="BF1" s="51"/>
      <c r="BG1" s="51"/>
      <c r="BH1" s="51"/>
      <c r="BI1" s="51"/>
      <c r="BJ1" s="51"/>
      <c r="BK1" s="51"/>
      <c r="BL1" s="51"/>
      <c r="BM1" s="51"/>
      <c r="BN1" s="51"/>
      <c r="BO1" s="51"/>
      <c r="BP1" s="51"/>
      <c r="BQ1" s="51"/>
      <c r="BR1" s="51"/>
      <c r="BS1" s="51"/>
      <c r="BT1" s="51"/>
      <c r="BU1" s="51"/>
      <c r="BV1" s="51"/>
      <c r="BW1" s="51"/>
      <c r="BX1" s="51"/>
      <c r="BY1" s="51"/>
    </row>
    <row r="2" spans="1:77" ht="14.25" x14ac:dyDescent="0.1">
      <c r="A2" s="64" t="s">
        <v>1</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51"/>
      <c r="BD2" s="51"/>
      <c r="BE2" s="51"/>
      <c r="BF2" s="51"/>
      <c r="BG2" s="51"/>
      <c r="BH2" s="51"/>
      <c r="BI2" s="51"/>
      <c r="BJ2" s="51"/>
      <c r="BK2" s="51"/>
      <c r="BL2" s="51"/>
      <c r="BM2" s="51"/>
      <c r="BN2" s="51"/>
      <c r="BO2" s="51"/>
      <c r="BP2" s="51"/>
      <c r="BQ2" s="51"/>
      <c r="BR2" s="51"/>
      <c r="BS2" s="51"/>
      <c r="BT2" s="51"/>
      <c r="BU2" s="51"/>
      <c r="BV2" s="51"/>
      <c r="BW2" s="51"/>
      <c r="BX2" s="51"/>
      <c r="BY2" s="51"/>
    </row>
    <row r="3" spans="1:77" ht="17.25" x14ac:dyDescent="0.1">
      <c r="A3" s="51"/>
      <c r="B3" s="65" t="s">
        <v>2</v>
      </c>
      <c r="C3" s="65"/>
      <c r="D3" s="65"/>
      <c r="E3" s="66"/>
      <c r="F3" s="66"/>
      <c r="G3" s="66"/>
      <c r="H3" s="66"/>
      <c r="I3" s="66"/>
      <c r="J3" s="66"/>
      <c r="K3" s="66"/>
      <c r="L3" s="66"/>
      <c r="M3" s="66"/>
      <c r="N3" s="66"/>
      <c r="O3" s="66"/>
      <c r="P3" s="67"/>
      <c r="Q3" s="51"/>
      <c r="R3" s="63" t="s">
        <v>3</v>
      </c>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51"/>
      <c r="BC3" s="51"/>
      <c r="BD3" s="51"/>
      <c r="BE3" s="51"/>
      <c r="BF3" s="51"/>
      <c r="BG3" s="51"/>
      <c r="BH3" s="51"/>
      <c r="BI3" s="51"/>
      <c r="BJ3" s="51"/>
      <c r="BK3" s="51"/>
      <c r="BL3" s="51"/>
      <c r="BM3" s="51"/>
      <c r="BN3" s="51"/>
      <c r="BO3" s="51"/>
      <c r="BP3" s="51"/>
      <c r="BQ3" s="51"/>
      <c r="BR3" s="51"/>
      <c r="BS3" s="51"/>
      <c r="BT3" s="51"/>
      <c r="BU3" s="51"/>
      <c r="BV3" s="51"/>
      <c r="BW3" s="51"/>
      <c r="BX3" s="51"/>
      <c r="BY3" s="51"/>
    </row>
    <row r="4" spans="1:77" ht="17.25" x14ac:dyDescent="0.1">
      <c r="A4" s="51"/>
      <c r="B4" s="65" t="s">
        <v>4</v>
      </c>
      <c r="C4" s="65"/>
      <c r="D4" s="65"/>
      <c r="E4" s="66"/>
      <c r="F4" s="66"/>
      <c r="G4" s="66"/>
      <c r="H4" s="66"/>
      <c r="I4" s="66"/>
      <c r="J4" s="66"/>
      <c r="K4" s="66"/>
      <c r="L4" s="66"/>
      <c r="M4" s="66"/>
      <c r="N4" s="66"/>
      <c r="O4" s="66"/>
      <c r="P4" s="67"/>
      <c r="Q4" s="51"/>
      <c r="R4" s="68" t="s">
        <v>5</v>
      </c>
      <c r="S4" s="68"/>
      <c r="T4" s="68"/>
      <c r="U4" s="68"/>
      <c r="V4" s="68"/>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51"/>
      <c r="BC4" s="51"/>
      <c r="BD4" s="51"/>
      <c r="BE4" s="51"/>
      <c r="BF4" s="51"/>
      <c r="BG4" s="51"/>
      <c r="BH4" s="51"/>
      <c r="BI4" s="51"/>
      <c r="BJ4" s="51"/>
      <c r="BK4" s="51"/>
      <c r="BL4" s="51"/>
      <c r="BM4" s="51"/>
      <c r="BN4" s="51"/>
      <c r="BO4" s="51"/>
      <c r="BP4" s="51"/>
      <c r="BQ4" s="51"/>
      <c r="BR4" s="51"/>
      <c r="BS4" s="51"/>
      <c r="BT4" s="51"/>
      <c r="BU4" s="51"/>
      <c r="BV4" s="51"/>
      <c r="BW4" s="51"/>
      <c r="BX4" s="51"/>
      <c r="BY4" s="51"/>
    </row>
    <row r="5" spans="1:77" ht="17.25" x14ac:dyDescent="0.1">
      <c r="A5" s="51"/>
      <c r="B5" s="51"/>
      <c r="C5" s="51"/>
      <c r="D5" s="51"/>
      <c r="E5" s="51"/>
      <c r="F5" s="51"/>
      <c r="G5" s="51"/>
      <c r="H5" s="51"/>
      <c r="I5" s="51"/>
      <c r="J5" s="51"/>
      <c r="K5" s="51"/>
      <c r="L5" s="51"/>
      <c r="M5" s="51"/>
      <c r="N5" s="51"/>
      <c r="O5" s="51"/>
      <c r="P5" s="51"/>
      <c r="Q5" s="51"/>
      <c r="R5" s="68" t="s">
        <v>6</v>
      </c>
      <c r="S5" s="68"/>
      <c r="T5" s="68"/>
      <c r="U5" s="68"/>
      <c r="V5" s="68"/>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51"/>
      <c r="BC5" s="51"/>
      <c r="BD5" s="51"/>
      <c r="BE5" s="51"/>
      <c r="BF5" s="51"/>
      <c r="BG5" s="51"/>
      <c r="BH5" s="51"/>
      <c r="BI5" s="51"/>
      <c r="BJ5" s="51"/>
      <c r="BK5" s="51"/>
      <c r="BL5" s="51"/>
      <c r="BM5" s="51"/>
      <c r="BN5" s="51"/>
      <c r="BO5" s="51"/>
      <c r="BP5" s="51"/>
      <c r="BQ5" s="51"/>
      <c r="BR5" s="51"/>
      <c r="BS5" s="51"/>
      <c r="BT5" s="51"/>
      <c r="BU5" s="51"/>
      <c r="BV5" s="51"/>
      <c r="BW5" s="51"/>
      <c r="BX5" s="51"/>
      <c r="BY5" s="51"/>
    </row>
    <row r="6" spans="1:77" ht="17.25" x14ac:dyDescent="0.1">
      <c r="A6" s="51"/>
      <c r="B6" s="65" t="s">
        <v>7</v>
      </c>
      <c r="C6" s="65"/>
      <c r="D6" s="65"/>
      <c r="E6" s="71"/>
      <c r="F6" s="71"/>
      <c r="G6" s="71"/>
      <c r="H6" s="71"/>
      <c r="I6" s="51"/>
      <c r="J6" s="65" t="s">
        <v>9</v>
      </c>
      <c r="K6" s="65"/>
      <c r="L6" s="65"/>
      <c r="M6" s="71"/>
      <c r="N6" s="71"/>
      <c r="O6" s="71"/>
      <c r="P6" s="71"/>
      <c r="Q6" s="51"/>
      <c r="R6" s="68" t="s">
        <v>11</v>
      </c>
      <c r="S6" s="68"/>
      <c r="T6" s="68"/>
      <c r="U6" s="68"/>
      <c r="V6" s="68"/>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51"/>
      <c r="BC6" s="51"/>
      <c r="BD6" s="51"/>
      <c r="BE6" s="51"/>
      <c r="BF6" s="51"/>
      <c r="BG6" s="51"/>
      <c r="BH6" s="51"/>
      <c r="BI6" s="51"/>
      <c r="BJ6" s="51"/>
      <c r="BK6" s="51"/>
      <c r="BL6" s="51"/>
      <c r="BM6" s="51"/>
      <c r="BN6" s="51"/>
      <c r="BO6" s="51"/>
      <c r="BP6" s="51"/>
      <c r="BQ6" s="51"/>
      <c r="BR6" s="51"/>
      <c r="BS6" s="51"/>
      <c r="BT6" s="51"/>
      <c r="BU6" s="51"/>
      <c r="BV6" s="51"/>
      <c r="BW6" s="51"/>
      <c r="BX6" s="51"/>
      <c r="BY6" s="51"/>
    </row>
    <row r="7" spans="1:77" ht="17.25" x14ac:dyDescent="0.1">
      <c r="A7" s="51"/>
      <c r="B7" s="65" t="s">
        <v>12</v>
      </c>
      <c r="C7" s="65"/>
      <c r="D7" s="65"/>
      <c r="E7" s="72"/>
      <c r="F7" s="73"/>
      <c r="G7" s="73"/>
      <c r="H7" s="74"/>
      <c r="I7" s="51"/>
      <c r="J7" s="65" t="s">
        <v>14</v>
      </c>
      <c r="K7" s="65"/>
      <c r="L7" s="65"/>
      <c r="M7" s="75"/>
      <c r="N7" s="76"/>
      <c r="O7" s="76"/>
      <c r="P7" s="77"/>
      <c r="Q7" s="51"/>
      <c r="R7" s="68" t="s">
        <v>15</v>
      </c>
      <c r="S7" s="68"/>
      <c r="T7" s="68"/>
      <c r="U7" s="68"/>
      <c r="V7" s="68"/>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51"/>
      <c r="BC7" s="51"/>
      <c r="BD7" s="51"/>
      <c r="BE7" s="51"/>
      <c r="BF7" s="51"/>
      <c r="BG7" s="51"/>
      <c r="BH7" s="51"/>
      <c r="BI7" s="51"/>
      <c r="BJ7" s="51"/>
      <c r="BK7" s="51"/>
      <c r="BL7" s="51"/>
      <c r="BM7" s="51"/>
      <c r="BN7" s="51"/>
      <c r="BO7" s="51"/>
      <c r="BP7" s="51"/>
      <c r="BQ7" s="51"/>
      <c r="BR7" s="51"/>
      <c r="BS7" s="51"/>
      <c r="BT7" s="51"/>
      <c r="BU7" s="51"/>
      <c r="BV7" s="51"/>
      <c r="BW7" s="51"/>
      <c r="BX7" s="51"/>
      <c r="BY7" s="51"/>
    </row>
    <row r="8" spans="1:77" ht="17.25" x14ac:dyDescent="0.1">
      <c r="A8" s="51"/>
      <c r="B8" s="65" t="s">
        <v>16</v>
      </c>
      <c r="C8" s="65"/>
      <c r="D8" s="65"/>
      <c r="E8" s="78"/>
      <c r="F8" s="79"/>
      <c r="G8" s="79"/>
      <c r="H8" s="80"/>
      <c r="I8" s="51"/>
      <c r="J8" s="65" t="s">
        <v>17</v>
      </c>
      <c r="K8" s="65"/>
      <c r="L8" s="65"/>
      <c r="M8" s="78"/>
      <c r="N8" s="79"/>
      <c r="O8" s="79"/>
      <c r="P8" s="80"/>
      <c r="Q8" s="51"/>
      <c r="R8" s="81" t="s">
        <v>18</v>
      </c>
      <c r="S8" s="81"/>
      <c r="T8" s="81"/>
      <c r="U8" s="81"/>
      <c r="V8" s="81"/>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51"/>
      <c r="BC8" s="51"/>
      <c r="BD8" s="51"/>
      <c r="BE8" s="51"/>
      <c r="BF8" s="51"/>
      <c r="BG8" s="51"/>
      <c r="BH8" s="51"/>
      <c r="BI8" s="51"/>
      <c r="BJ8" s="51"/>
      <c r="BK8" s="51"/>
      <c r="BL8" s="51"/>
      <c r="BM8" s="51"/>
      <c r="BN8" s="51"/>
      <c r="BO8" s="51"/>
      <c r="BP8" s="51"/>
      <c r="BQ8" s="51"/>
      <c r="BR8" s="51"/>
      <c r="BS8" s="51"/>
      <c r="BT8" s="51"/>
      <c r="BU8" s="51"/>
      <c r="BV8" s="51"/>
      <c r="BW8" s="51"/>
      <c r="BX8" s="51"/>
      <c r="BY8" s="51"/>
    </row>
    <row r="9" spans="1:77" ht="17.25" x14ac:dyDescent="0.1">
      <c r="A9" s="51"/>
      <c r="B9" s="51"/>
      <c r="C9" s="51"/>
      <c r="D9" s="51"/>
      <c r="E9" s="51"/>
      <c r="F9" s="51"/>
      <c r="G9" s="51"/>
      <c r="H9" s="51"/>
      <c r="I9" s="51"/>
      <c r="J9" s="51"/>
      <c r="K9" s="51"/>
      <c r="L9" s="51"/>
      <c r="M9" s="51"/>
      <c r="N9" s="51"/>
      <c r="O9" s="51"/>
      <c r="P9" s="51"/>
      <c r="Q9" s="51"/>
      <c r="R9" s="81" t="s">
        <v>19</v>
      </c>
      <c r="S9" s="81"/>
      <c r="T9" s="81"/>
      <c r="U9" s="81"/>
      <c r="V9" s="81"/>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51"/>
      <c r="BC9" s="51"/>
      <c r="BD9" s="51"/>
      <c r="BE9" s="51"/>
      <c r="BF9" s="51"/>
      <c r="BG9" s="51"/>
      <c r="BH9" s="51"/>
      <c r="BI9" s="51"/>
      <c r="BJ9" s="51"/>
      <c r="BK9" s="51"/>
      <c r="BL9" s="51"/>
      <c r="BM9" s="51"/>
      <c r="BN9" s="51"/>
      <c r="BO9" s="51"/>
      <c r="BP9" s="51"/>
      <c r="BQ9" s="51"/>
      <c r="BR9" s="51"/>
      <c r="BS9" s="51"/>
      <c r="BT9" s="51"/>
      <c r="BU9" s="51"/>
      <c r="BV9" s="51"/>
      <c r="BW9" s="51"/>
      <c r="BX9" s="51"/>
      <c r="BY9" s="51"/>
    </row>
    <row r="10" spans="1:77" ht="17.25" x14ac:dyDescent="0.1">
      <c r="A10" s="51"/>
      <c r="B10" s="82" t="s">
        <v>20</v>
      </c>
      <c r="C10" s="82"/>
      <c r="D10" s="82"/>
      <c r="E10" s="82"/>
      <c r="F10" s="82"/>
      <c r="G10" s="82"/>
      <c r="H10" s="82"/>
      <c r="I10" s="82"/>
      <c r="J10" s="82"/>
      <c r="K10" s="82"/>
      <c r="L10" s="82"/>
      <c r="M10" s="82"/>
      <c r="N10" s="82"/>
      <c r="O10" s="82"/>
      <c r="P10" s="82"/>
      <c r="Q10" s="51"/>
      <c r="R10" s="81" t="s">
        <v>21</v>
      </c>
      <c r="S10" s="81"/>
      <c r="T10" s="81"/>
      <c r="U10" s="81"/>
      <c r="V10" s="81"/>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row>
    <row r="11" spans="1:77" ht="17.25" x14ac:dyDescent="0.1">
      <c r="A11" s="51"/>
      <c r="B11" s="70"/>
      <c r="C11" s="70"/>
      <c r="D11" s="70"/>
      <c r="E11" s="70"/>
      <c r="F11" s="70"/>
      <c r="G11" s="70"/>
      <c r="H11" s="70"/>
      <c r="I11" s="70"/>
      <c r="J11" s="70"/>
      <c r="K11" s="70"/>
      <c r="L11" s="70"/>
      <c r="M11" s="70"/>
      <c r="N11" s="70"/>
      <c r="O11" s="70"/>
      <c r="P11" s="70"/>
      <c r="Q11" s="51"/>
      <c r="R11" s="81" t="s">
        <v>22</v>
      </c>
      <c r="S11" s="81"/>
      <c r="T11" s="81"/>
      <c r="U11" s="81"/>
      <c r="V11" s="81"/>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row>
    <row r="12" spans="1:77" ht="17.25" x14ac:dyDescent="0.1">
      <c r="A12" s="51"/>
      <c r="B12" s="70"/>
      <c r="C12" s="70"/>
      <c r="D12" s="70"/>
      <c r="E12" s="70"/>
      <c r="F12" s="70"/>
      <c r="G12" s="70"/>
      <c r="H12" s="70"/>
      <c r="I12" s="70"/>
      <c r="J12" s="70"/>
      <c r="K12" s="70"/>
      <c r="L12" s="70"/>
      <c r="M12" s="70"/>
      <c r="N12" s="70"/>
      <c r="O12" s="70"/>
      <c r="P12" s="70"/>
      <c r="Q12" s="51"/>
      <c r="R12" s="63" t="s">
        <v>23</v>
      </c>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row>
    <row r="13" spans="1:77" ht="14.25" x14ac:dyDescent="0.1">
      <c r="A13" s="51"/>
      <c r="B13" s="70"/>
      <c r="C13" s="70"/>
      <c r="D13" s="70"/>
      <c r="E13" s="70"/>
      <c r="F13" s="70"/>
      <c r="G13" s="70"/>
      <c r="H13" s="70"/>
      <c r="I13" s="70"/>
      <c r="J13" s="70"/>
      <c r="K13" s="70"/>
      <c r="L13" s="70"/>
      <c r="M13" s="70"/>
      <c r="N13" s="70"/>
      <c r="O13" s="70"/>
      <c r="P13" s="70"/>
      <c r="Q13" s="51"/>
      <c r="R13" s="83"/>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5"/>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row>
    <row r="14" spans="1:77" ht="14.25" x14ac:dyDescent="0.1">
      <c r="A14" s="51"/>
      <c r="B14" s="70"/>
      <c r="C14" s="70"/>
      <c r="D14" s="70"/>
      <c r="E14" s="70"/>
      <c r="F14" s="70"/>
      <c r="G14" s="70"/>
      <c r="H14" s="70"/>
      <c r="I14" s="70"/>
      <c r="J14" s="70"/>
      <c r="K14" s="70"/>
      <c r="L14" s="70"/>
      <c r="M14" s="70"/>
      <c r="N14" s="70"/>
      <c r="O14" s="70"/>
      <c r="P14" s="70"/>
      <c r="Q14" s="51"/>
      <c r="R14" s="86"/>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8"/>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row>
    <row r="15" spans="1:77" ht="14.25" x14ac:dyDescent="0.1">
      <c r="A15" s="51"/>
      <c r="B15" s="82" t="s">
        <v>24</v>
      </c>
      <c r="C15" s="82"/>
      <c r="D15" s="82"/>
      <c r="E15" s="82"/>
      <c r="F15" s="82"/>
      <c r="G15" s="82"/>
      <c r="H15" s="82"/>
      <c r="I15" s="82"/>
      <c r="J15" s="82"/>
      <c r="K15" s="82"/>
      <c r="L15" s="82"/>
      <c r="M15" s="82"/>
      <c r="N15" s="82"/>
      <c r="O15" s="82"/>
      <c r="P15" s="82"/>
      <c r="Q15" s="51"/>
      <c r="R15" s="86"/>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8"/>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row>
    <row r="16" spans="1:77" ht="14.25" x14ac:dyDescent="0.1">
      <c r="A16" s="51"/>
      <c r="B16" s="70"/>
      <c r="C16" s="70"/>
      <c r="D16" s="70"/>
      <c r="E16" s="70"/>
      <c r="F16" s="70"/>
      <c r="G16" s="70"/>
      <c r="H16" s="70"/>
      <c r="I16" s="70"/>
      <c r="J16" s="70"/>
      <c r="K16" s="70"/>
      <c r="L16" s="70"/>
      <c r="M16" s="70"/>
      <c r="N16" s="70"/>
      <c r="O16" s="70"/>
      <c r="P16" s="70"/>
      <c r="Q16" s="51"/>
      <c r="R16" s="86"/>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8"/>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row>
    <row r="17" spans="1:77" ht="14.25" x14ac:dyDescent="0.1">
      <c r="A17" s="51"/>
      <c r="B17" s="70"/>
      <c r="C17" s="70"/>
      <c r="D17" s="70"/>
      <c r="E17" s="70"/>
      <c r="F17" s="70"/>
      <c r="G17" s="70"/>
      <c r="H17" s="70"/>
      <c r="I17" s="70"/>
      <c r="J17" s="70"/>
      <c r="K17" s="70"/>
      <c r="L17" s="70"/>
      <c r="M17" s="70"/>
      <c r="N17" s="70"/>
      <c r="O17" s="70"/>
      <c r="P17" s="70"/>
      <c r="Q17" s="51"/>
      <c r="R17" s="86"/>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8"/>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row>
    <row r="18" spans="1:77" ht="14.25" x14ac:dyDescent="0.1">
      <c r="A18" s="51"/>
      <c r="B18" s="70"/>
      <c r="C18" s="70"/>
      <c r="D18" s="70"/>
      <c r="E18" s="70"/>
      <c r="F18" s="70"/>
      <c r="G18" s="70"/>
      <c r="H18" s="70"/>
      <c r="I18" s="70"/>
      <c r="J18" s="70"/>
      <c r="K18" s="70"/>
      <c r="L18" s="70"/>
      <c r="M18" s="70"/>
      <c r="N18" s="70"/>
      <c r="O18" s="70"/>
      <c r="P18" s="70"/>
      <c r="Q18" s="51"/>
      <c r="R18" s="86"/>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8"/>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row>
    <row r="19" spans="1:77" ht="14.25" x14ac:dyDescent="0.1">
      <c r="A19" s="51"/>
      <c r="B19" s="70"/>
      <c r="C19" s="70"/>
      <c r="D19" s="70"/>
      <c r="E19" s="70"/>
      <c r="F19" s="70"/>
      <c r="G19" s="70"/>
      <c r="H19" s="70"/>
      <c r="I19" s="70"/>
      <c r="J19" s="70"/>
      <c r="K19" s="70"/>
      <c r="L19" s="70"/>
      <c r="M19" s="70"/>
      <c r="N19" s="70"/>
      <c r="O19" s="70"/>
      <c r="P19" s="70"/>
      <c r="Q19" s="51"/>
      <c r="R19" s="86"/>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8"/>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row>
    <row r="20" spans="1:77" ht="14.25" x14ac:dyDescent="0.1">
      <c r="A20" s="51"/>
      <c r="B20" s="70"/>
      <c r="C20" s="70"/>
      <c r="D20" s="70"/>
      <c r="E20" s="70"/>
      <c r="F20" s="70"/>
      <c r="G20" s="70"/>
      <c r="H20" s="70"/>
      <c r="I20" s="70"/>
      <c r="J20" s="70"/>
      <c r="K20" s="70"/>
      <c r="L20" s="70"/>
      <c r="M20" s="70"/>
      <c r="N20" s="70"/>
      <c r="O20" s="70"/>
      <c r="P20" s="70"/>
      <c r="Q20" s="51"/>
      <c r="R20" s="86"/>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8"/>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row>
    <row r="21" spans="1:77" ht="14.25" x14ac:dyDescent="0.1">
      <c r="A21" s="51"/>
      <c r="B21" s="70"/>
      <c r="C21" s="70"/>
      <c r="D21" s="70"/>
      <c r="E21" s="70"/>
      <c r="F21" s="70"/>
      <c r="G21" s="70"/>
      <c r="H21" s="70"/>
      <c r="I21" s="70"/>
      <c r="J21" s="70"/>
      <c r="K21" s="70"/>
      <c r="L21" s="70"/>
      <c r="M21" s="70"/>
      <c r="N21" s="70"/>
      <c r="O21" s="70"/>
      <c r="P21" s="70"/>
      <c r="Q21" s="51"/>
      <c r="R21" s="86"/>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8"/>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row>
    <row r="22" spans="1:77" ht="14.25" x14ac:dyDescent="0.1">
      <c r="A22" s="51"/>
      <c r="B22" s="70"/>
      <c r="C22" s="70"/>
      <c r="D22" s="70"/>
      <c r="E22" s="70"/>
      <c r="F22" s="70"/>
      <c r="G22" s="70"/>
      <c r="H22" s="70"/>
      <c r="I22" s="70"/>
      <c r="J22" s="70"/>
      <c r="K22" s="70"/>
      <c r="L22" s="70"/>
      <c r="M22" s="70"/>
      <c r="N22" s="70"/>
      <c r="O22" s="70"/>
      <c r="P22" s="70"/>
      <c r="Q22" s="51"/>
      <c r="R22" s="86"/>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8"/>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row>
    <row r="23" spans="1:77" ht="14.25" x14ac:dyDescent="0.1">
      <c r="A23" s="51"/>
      <c r="B23" s="70"/>
      <c r="C23" s="70"/>
      <c r="D23" s="70"/>
      <c r="E23" s="70"/>
      <c r="F23" s="70"/>
      <c r="G23" s="70"/>
      <c r="H23" s="70"/>
      <c r="I23" s="70"/>
      <c r="J23" s="70"/>
      <c r="K23" s="70"/>
      <c r="L23" s="70"/>
      <c r="M23" s="70"/>
      <c r="N23" s="70"/>
      <c r="O23" s="70"/>
      <c r="P23" s="70"/>
      <c r="Q23" s="51"/>
      <c r="R23" s="86"/>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8"/>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row>
    <row r="24" spans="1:77" ht="14.25" x14ac:dyDescent="0.1">
      <c r="A24" s="51"/>
      <c r="B24" s="70"/>
      <c r="C24" s="70"/>
      <c r="D24" s="70"/>
      <c r="E24" s="70"/>
      <c r="F24" s="70"/>
      <c r="G24" s="70"/>
      <c r="H24" s="70"/>
      <c r="I24" s="70"/>
      <c r="J24" s="70"/>
      <c r="K24" s="70"/>
      <c r="L24" s="70"/>
      <c r="M24" s="70"/>
      <c r="N24" s="70"/>
      <c r="O24" s="70"/>
      <c r="P24" s="70"/>
      <c r="Q24" s="51"/>
      <c r="R24" s="86"/>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8"/>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row>
    <row r="25" spans="1:77" ht="14.25" x14ac:dyDescent="0.1">
      <c r="A25" s="51"/>
      <c r="B25" s="70"/>
      <c r="C25" s="70"/>
      <c r="D25" s="70"/>
      <c r="E25" s="70"/>
      <c r="F25" s="70"/>
      <c r="G25" s="70"/>
      <c r="H25" s="70"/>
      <c r="I25" s="70"/>
      <c r="J25" s="70"/>
      <c r="K25" s="70"/>
      <c r="L25" s="70"/>
      <c r="M25" s="70"/>
      <c r="N25" s="70"/>
      <c r="O25" s="70"/>
      <c r="P25" s="70"/>
      <c r="Q25" s="51"/>
      <c r="R25" s="86"/>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8"/>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row>
    <row r="26" spans="1:77" ht="14.25" x14ac:dyDescent="0.1">
      <c r="A26" s="51"/>
      <c r="B26" s="70"/>
      <c r="C26" s="70"/>
      <c r="D26" s="70"/>
      <c r="E26" s="70"/>
      <c r="F26" s="70"/>
      <c r="G26" s="70"/>
      <c r="H26" s="70"/>
      <c r="I26" s="70"/>
      <c r="J26" s="70"/>
      <c r="K26" s="70"/>
      <c r="L26" s="70"/>
      <c r="M26" s="70"/>
      <c r="N26" s="70"/>
      <c r="O26" s="70"/>
      <c r="P26" s="70"/>
      <c r="Q26" s="51"/>
      <c r="R26" s="86"/>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8"/>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row>
    <row r="27" spans="1:77" ht="14.25" x14ac:dyDescent="0.1">
      <c r="A27" s="51"/>
      <c r="B27" s="70"/>
      <c r="C27" s="70"/>
      <c r="D27" s="70"/>
      <c r="E27" s="70"/>
      <c r="F27" s="70"/>
      <c r="G27" s="70"/>
      <c r="H27" s="70"/>
      <c r="I27" s="70"/>
      <c r="J27" s="70"/>
      <c r="K27" s="70"/>
      <c r="L27" s="70"/>
      <c r="M27" s="70"/>
      <c r="N27" s="70"/>
      <c r="O27" s="70"/>
      <c r="P27" s="70"/>
      <c r="Q27" s="51"/>
      <c r="R27" s="86"/>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8"/>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row>
    <row r="28" spans="1:77" ht="14.25" x14ac:dyDescent="0.1">
      <c r="A28" s="51"/>
      <c r="B28" s="70"/>
      <c r="C28" s="70"/>
      <c r="D28" s="70"/>
      <c r="E28" s="70"/>
      <c r="F28" s="70"/>
      <c r="G28" s="70"/>
      <c r="H28" s="70"/>
      <c r="I28" s="70"/>
      <c r="J28" s="70"/>
      <c r="K28" s="70"/>
      <c r="L28" s="70"/>
      <c r="M28" s="70"/>
      <c r="N28" s="70"/>
      <c r="O28" s="70"/>
      <c r="P28" s="70"/>
      <c r="Q28" s="51"/>
      <c r="R28" s="86"/>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8"/>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row>
    <row r="29" spans="1:77" ht="14.25" x14ac:dyDescent="0.1">
      <c r="A29" s="51"/>
      <c r="B29" s="70"/>
      <c r="C29" s="70"/>
      <c r="D29" s="70"/>
      <c r="E29" s="70"/>
      <c r="F29" s="70"/>
      <c r="G29" s="70"/>
      <c r="H29" s="70"/>
      <c r="I29" s="70"/>
      <c r="J29" s="70"/>
      <c r="K29" s="70"/>
      <c r="L29" s="70"/>
      <c r="M29" s="70"/>
      <c r="N29" s="70"/>
      <c r="O29" s="70"/>
      <c r="P29" s="70"/>
      <c r="Q29" s="51"/>
      <c r="R29" s="86"/>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8"/>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row>
    <row r="30" spans="1:77" ht="14.25" x14ac:dyDescent="0.1">
      <c r="A30" s="51"/>
      <c r="B30" s="70"/>
      <c r="C30" s="70"/>
      <c r="D30" s="70"/>
      <c r="E30" s="70"/>
      <c r="F30" s="70"/>
      <c r="G30" s="70"/>
      <c r="H30" s="70"/>
      <c r="I30" s="70"/>
      <c r="J30" s="70"/>
      <c r="K30" s="70"/>
      <c r="L30" s="70"/>
      <c r="M30" s="70"/>
      <c r="N30" s="70"/>
      <c r="O30" s="70"/>
      <c r="P30" s="70"/>
      <c r="Q30" s="51"/>
      <c r="R30" s="86"/>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8"/>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row>
    <row r="31" spans="1:77" ht="14.25" x14ac:dyDescent="0.1">
      <c r="A31" s="51"/>
      <c r="B31" s="70"/>
      <c r="C31" s="70"/>
      <c r="D31" s="70"/>
      <c r="E31" s="70"/>
      <c r="F31" s="70"/>
      <c r="G31" s="70"/>
      <c r="H31" s="70"/>
      <c r="I31" s="70"/>
      <c r="J31" s="70"/>
      <c r="K31" s="70"/>
      <c r="L31" s="70"/>
      <c r="M31" s="70"/>
      <c r="N31" s="70"/>
      <c r="O31" s="70"/>
      <c r="P31" s="70"/>
      <c r="Q31" s="51"/>
      <c r="R31" s="86"/>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8"/>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row>
    <row r="32" spans="1:77" ht="14.25" x14ac:dyDescent="0.1">
      <c r="A32" s="51"/>
      <c r="B32" s="70"/>
      <c r="C32" s="70"/>
      <c r="D32" s="70"/>
      <c r="E32" s="70"/>
      <c r="F32" s="70"/>
      <c r="G32" s="70"/>
      <c r="H32" s="70"/>
      <c r="I32" s="70"/>
      <c r="J32" s="70"/>
      <c r="K32" s="70"/>
      <c r="L32" s="70"/>
      <c r="M32" s="70"/>
      <c r="N32" s="70"/>
      <c r="O32" s="70"/>
      <c r="P32" s="70"/>
      <c r="Q32" s="51"/>
      <c r="R32" s="86"/>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8"/>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row>
    <row r="33" spans="1:77" ht="14.25" x14ac:dyDescent="0.1">
      <c r="A33" s="51"/>
      <c r="B33" s="70"/>
      <c r="C33" s="70"/>
      <c r="D33" s="70"/>
      <c r="E33" s="70"/>
      <c r="F33" s="70"/>
      <c r="G33" s="70"/>
      <c r="H33" s="70"/>
      <c r="I33" s="70"/>
      <c r="J33" s="70"/>
      <c r="K33" s="70"/>
      <c r="L33" s="70"/>
      <c r="M33" s="70"/>
      <c r="N33" s="70"/>
      <c r="O33" s="70"/>
      <c r="P33" s="70"/>
      <c r="Q33" s="51"/>
      <c r="R33" s="86"/>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8"/>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row>
    <row r="34" spans="1:77" ht="14.25" x14ac:dyDescent="0.1">
      <c r="A34" s="51"/>
      <c r="B34" s="70"/>
      <c r="C34" s="70"/>
      <c r="D34" s="70"/>
      <c r="E34" s="70"/>
      <c r="F34" s="70"/>
      <c r="G34" s="70"/>
      <c r="H34" s="70"/>
      <c r="I34" s="70"/>
      <c r="J34" s="70"/>
      <c r="K34" s="70"/>
      <c r="L34" s="70"/>
      <c r="M34" s="70"/>
      <c r="N34" s="70"/>
      <c r="O34" s="70"/>
      <c r="P34" s="70"/>
      <c r="Q34" s="51"/>
      <c r="R34" s="89"/>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row>
    <row r="35" spans="1:77" ht="14.25" x14ac:dyDescent="0.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row>
    <row r="36" spans="1:77" ht="14.25" x14ac:dyDescent="0.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row>
    <row r="37" spans="1:77" ht="14.25" x14ac:dyDescent="0.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row>
    <row r="38" spans="1:77" ht="14.25" x14ac:dyDescent="0.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row>
    <row r="39" spans="1:77" ht="14.25" x14ac:dyDescent="0.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row>
    <row r="40" spans="1:77" ht="14.25" x14ac:dyDescent="0.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row>
    <row r="41" spans="1:77" ht="14.25" x14ac:dyDescent="0.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row>
    <row r="42" spans="1:77" ht="14.25" x14ac:dyDescent="0.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row>
    <row r="43" spans="1:77" ht="14.25" x14ac:dyDescent="0.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row>
    <row r="44" spans="1:77" ht="14.25" x14ac:dyDescent="0.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row>
    <row r="45" spans="1:77" ht="14.25" x14ac:dyDescent="0.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row>
    <row r="46" spans="1:77" ht="14.25" x14ac:dyDescent="0.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row>
    <row r="47" spans="1:77"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row>
    <row r="48" spans="1:77"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row>
    <row r="49" spans="1:77"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row>
    <row r="50" spans="1:77"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row>
    <row r="51" spans="1:77"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row>
    <row r="52" spans="1:77"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row>
    <row r="53" spans="1:77"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row>
    <row r="54" spans="1:77"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row>
    <row r="55" spans="1:77"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row>
    <row r="56" spans="1:77"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row>
    <row r="57" spans="1:77"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row>
    <row r="58" spans="1:77"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row>
    <row r="59" spans="1:77"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row>
  </sheetData>
  <mergeCells count="41">
    <mergeCell ref="B16:P34"/>
    <mergeCell ref="R13:BA34"/>
    <mergeCell ref="R11:V11"/>
    <mergeCell ref="W11:BA11"/>
    <mergeCell ref="R12:BA12"/>
    <mergeCell ref="B15:P15"/>
    <mergeCell ref="B11:P14"/>
    <mergeCell ref="W8:BA8"/>
    <mergeCell ref="R9:V9"/>
    <mergeCell ref="W9:BA9"/>
    <mergeCell ref="B10:P10"/>
    <mergeCell ref="R10:V10"/>
    <mergeCell ref="W10:BA10"/>
    <mergeCell ref="B8:D8"/>
    <mergeCell ref="E8:H8"/>
    <mergeCell ref="J8:L8"/>
    <mergeCell ref="M8:P8"/>
    <mergeCell ref="R8:V8"/>
    <mergeCell ref="W6:BA6"/>
    <mergeCell ref="B7:D7"/>
    <mergeCell ref="E7:H7"/>
    <mergeCell ref="J7:L7"/>
    <mergeCell ref="M7:P7"/>
    <mergeCell ref="R7:V7"/>
    <mergeCell ref="W7:BA7"/>
    <mergeCell ref="B6:D6"/>
    <mergeCell ref="E6:H6"/>
    <mergeCell ref="J6:L6"/>
    <mergeCell ref="M6:P6"/>
    <mergeCell ref="R6:V6"/>
    <mergeCell ref="B4:D4"/>
    <mergeCell ref="E4:P4"/>
    <mergeCell ref="R4:V4"/>
    <mergeCell ref="W4:BA4"/>
    <mergeCell ref="R5:V5"/>
    <mergeCell ref="W5:BA5"/>
    <mergeCell ref="A1:BB1"/>
    <mergeCell ref="A2:BB2"/>
    <mergeCell ref="B3:D3"/>
    <mergeCell ref="E3:P3"/>
    <mergeCell ref="R3:BA3"/>
  </mergeCells>
  <dataValidations count="6">
    <dataValidation type="list" allowBlank="1" showInputMessage="1" showErrorMessage="1" sqref="W4:BA4" xr:uid="{00000000-0002-0000-0000-000000000000}">
      <formula1>"守序善良,中立善良,混乱善良,守序中立,绝对中立,混乱中立,守序邪恶,中立邪恶,混乱邪恶"</formula1>
    </dataValidation>
    <dataValidation type="list" allowBlank="1" showInputMessage="1" showErrorMessage="1" sqref="E6:H6" xr:uid="{00000000-0002-0000-0000-000001000000}">
      <formula1>"类人生物,巨人,精类,构装生物,不死生物,天界生物,邪魔,植物,野兽,元素,异怪,龙,怪兽"</formula1>
    </dataValidation>
    <dataValidation type="list" allowBlank="1" showInputMessage="1" showErrorMessage="1" sqref="M6:P6" xr:uid="{00000000-0002-0000-0000-000002000000}">
      <formula1>"微型,小型,中型,大型,巨型,超巨型"</formula1>
    </dataValidation>
    <dataValidation type="list" allowBlank="1" showInputMessage="1" showErrorMessage="1" sqref="E7:H7" xr:uid="{00000000-0002-0000-0000-000003000000}">
      <formula1>INDIRECT($E$6)</formula1>
    </dataValidation>
    <dataValidation type="list" allowBlank="1" showInputMessage="1" showErrorMessage="1" sqref="M7:P7" xr:uid="{00000000-0002-0000-0000-000004000000}">
      <formula1>"男,女,无性,双性,武装直升机"</formula1>
    </dataValidation>
    <dataValidation allowBlank="1" showInputMessage="1" showErrorMessage="1" sqref="E8:H8 M8:P8 W5:BA11" xr:uid="{00000000-0002-0000-0000-000005000000}"/>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BY59"/>
  <sheetViews>
    <sheetView tabSelected="1" topLeftCell="E1" workbookViewId="0">
      <selection activeCell="G36" sqref="G36"/>
    </sheetView>
  </sheetViews>
  <sheetFormatPr defaultColWidth="2.7265625" defaultRowHeight="13.5" x14ac:dyDescent="0.1"/>
  <cols>
    <col min="1" max="3" width="2.7265625" customWidth="1"/>
    <col min="4" max="4" width="8.7265625" customWidth="1"/>
    <col min="5" max="5" width="8.58984375" customWidth="1"/>
    <col min="6" max="6" width="8.7265625" customWidth="1"/>
    <col min="7" max="7" width="8.31640625" customWidth="1"/>
    <col min="8" max="8" width="8.86328125" customWidth="1"/>
    <col min="9" max="9" width="2.7265625" customWidth="1"/>
    <col min="10" max="11" width="3.81640625" customWidth="1"/>
    <col min="12" max="12" width="4.49609375" customWidth="1"/>
    <col min="13" max="14" width="2.7265625" customWidth="1"/>
    <col min="15" max="15" width="0.26953125" customWidth="1"/>
    <col min="16" max="16" width="2.7265625" customWidth="1"/>
    <col min="17" max="17" width="1.49609375" customWidth="1"/>
    <col min="18" max="19" width="2.7265625" customWidth="1"/>
    <col min="20" max="20" width="0.1328125" customWidth="1"/>
    <col min="21" max="21" width="1.90625" customWidth="1"/>
    <col min="22" max="28" width="2.7265625" customWidth="1"/>
    <col min="29" max="29" width="0.81640625" customWidth="1"/>
    <col min="30" max="30" width="2.7265625" customWidth="1"/>
  </cols>
  <sheetData>
    <row r="1" spans="1:77" ht="17.25" x14ac:dyDescent="0.1">
      <c r="A1" s="92" t="s">
        <v>25</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51"/>
      <c r="BL1" s="51"/>
      <c r="BM1" s="51"/>
      <c r="BN1" s="51"/>
      <c r="BO1" s="51"/>
      <c r="BP1" s="51"/>
      <c r="BQ1" s="51"/>
      <c r="BR1" s="51"/>
      <c r="BS1" s="51"/>
      <c r="BT1" s="51"/>
      <c r="BU1" s="51"/>
      <c r="BV1" s="51"/>
      <c r="BW1" s="51"/>
      <c r="BX1" s="51"/>
      <c r="BY1" s="51"/>
    </row>
    <row r="2" spans="1:77" ht="14.25" x14ac:dyDescent="0.1">
      <c r="A2" s="64" t="s">
        <v>1</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51"/>
      <c r="BD2" s="51"/>
      <c r="BE2" s="51"/>
      <c r="BF2" s="51"/>
      <c r="BG2" s="51"/>
      <c r="BH2" s="51"/>
      <c r="BI2" s="51"/>
      <c r="BJ2" s="51"/>
      <c r="BK2" s="51"/>
      <c r="BL2" s="51"/>
      <c r="BM2" s="51"/>
      <c r="BN2" s="51"/>
      <c r="BO2" s="51"/>
      <c r="BP2" s="51"/>
      <c r="BQ2" s="51"/>
      <c r="BR2" s="51"/>
      <c r="BS2" s="51"/>
      <c r="BT2" s="51"/>
      <c r="BU2" s="51"/>
      <c r="BV2" s="51"/>
      <c r="BW2" s="51"/>
      <c r="BX2" s="51"/>
      <c r="BY2" s="51"/>
    </row>
    <row r="3" spans="1:77" ht="18" customHeight="1" x14ac:dyDescent="0.1">
      <c r="A3" s="92" t="s">
        <v>26</v>
      </c>
      <c r="B3" s="92"/>
      <c r="C3" s="92"/>
      <c r="D3" s="92"/>
      <c r="E3" s="92"/>
      <c r="F3" s="92"/>
      <c r="G3" s="92"/>
      <c r="H3" s="92"/>
      <c r="I3" s="51"/>
      <c r="J3" s="92" t="s">
        <v>27</v>
      </c>
      <c r="K3" s="92"/>
      <c r="L3" s="92"/>
      <c r="M3" s="92"/>
      <c r="N3" s="92"/>
      <c r="O3" s="92"/>
      <c r="P3" s="92"/>
      <c r="Q3" s="92"/>
      <c r="R3" s="92"/>
      <c r="S3" s="92"/>
      <c r="T3" s="92"/>
      <c r="U3" s="92"/>
      <c r="V3" s="92"/>
      <c r="W3" s="92"/>
      <c r="X3" s="92"/>
      <c r="Y3" s="92"/>
      <c r="Z3" s="92"/>
      <c r="AA3" s="51"/>
      <c r="AB3" s="51"/>
      <c r="AC3" s="51"/>
      <c r="AD3" s="92" t="s">
        <v>12</v>
      </c>
      <c r="AE3" s="92"/>
      <c r="AF3" s="92"/>
      <c r="AG3" s="92"/>
      <c r="AH3" s="92"/>
      <c r="AI3" s="92"/>
      <c r="AJ3" s="92"/>
      <c r="AK3" s="92"/>
      <c r="AL3" s="92"/>
      <c r="AM3" s="92"/>
      <c r="AN3" s="92"/>
      <c r="AO3" s="92"/>
      <c r="AP3" s="92"/>
      <c r="AQ3" s="92"/>
      <c r="AR3" s="92"/>
      <c r="AS3" s="92"/>
      <c r="AT3" s="92"/>
      <c r="AU3" s="92"/>
      <c r="AV3" s="92"/>
      <c r="AW3" s="92"/>
      <c r="AX3" s="92"/>
      <c r="AY3" s="51"/>
      <c r="AZ3" s="92" t="s">
        <v>28</v>
      </c>
      <c r="BA3" s="92"/>
      <c r="BB3" s="92"/>
      <c r="BC3" s="92"/>
      <c r="BD3" s="92"/>
      <c r="BE3" s="92"/>
      <c r="BF3" s="92"/>
      <c r="BG3" s="92"/>
      <c r="BH3" s="92"/>
      <c r="BI3" s="92"/>
      <c r="BJ3" s="92"/>
      <c r="BK3" s="51"/>
      <c r="BL3" s="51"/>
      <c r="BM3" s="51"/>
      <c r="BN3" s="51"/>
      <c r="BO3" s="51"/>
      <c r="BP3" s="51"/>
      <c r="BQ3" s="51"/>
      <c r="BR3" s="51"/>
      <c r="BS3" s="51"/>
      <c r="BT3" s="51"/>
      <c r="BU3" s="51"/>
      <c r="BV3" s="51"/>
      <c r="BW3" s="51"/>
      <c r="BX3" s="51"/>
      <c r="BY3" s="51"/>
    </row>
    <row r="4" spans="1:77" ht="14.25" x14ac:dyDescent="0.2">
      <c r="A4" s="51"/>
      <c r="B4" s="51"/>
      <c r="C4" s="51"/>
      <c r="D4" s="51" t="s">
        <v>29</v>
      </c>
      <c r="E4" s="51" t="s">
        <v>30</v>
      </c>
      <c r="F4" s="51" t="s">
        <v>31</v>
      </c>
      <c r="G4" s="51" t="s">
        <v>32</v>
      </c>
      <c r="H4" s="51" t="s">
        <v>33</v>
      </c>
      <c r="I4" s="51"/>
      <c r="J4" s="148" t="s">
        <v>34</v>
      </c>
      <c r="K4" s="124"/>
      <c r="L4" s="124"/>
      <c r="M4" s="172">
        <f>SUM(W7:Z10)</f>
        <v>0</v>
      </c>
      <c r="N4" s="173"/>
      <c r="O4" s="173"/>
      <c r="P4" s="173"/>
      <c r="Q4" s="174"/>
      <c r="R4" s="148" t="s">
        <v>35</v>
      </c>
      <c r="S4" s="124"/>
      <c r="T4" s="124"/>
      <c r="U4" s="124"/>
      <c r="V4" s="171">
        <f>MAX(INT((M4+7)/4)+Y5,2)</f>
        <v>2</v>
      </c>
      <c r="W4" s="171"/>
      <c r="X4" s="171"/>
      <c r="Y4" s="64" t="s">
        <v>36</v>
      </c>
      <c r="Z4" s="64"/>
      <c r="AA4" s="51"/>
      <c r="AB4" s="51"/>
      <c r="AC4" s="51"/>
      <c r="AD4" s="64" t="s">
        <v>37</v>
      </c>
      <c r="AE4" s="64"/>
      <c r="AF4" s="64"/>
      <c r="AG4" s="64"/>
      <c r="AH4" s="64" t="s">
        <v>38</v>
      </c>
      <c r="AI4" s="64"/>
      <c r="AJ4" s="64"/>
      <c r="AK4" s="64"/>
      <c r="AL4" s="64"/>
      <c r="AM4" s="64"/>
      <c r="AN4" s="64"/>
      <c r="AO4" s="64"/>
      <c r="AP4" s="64"/>
      <c r="AQ4" s="64"/>
      <c r="AR4" s="64"/>
      <c r="AS4" s="64"/>
      <c r="AT4" s="64"/>
      <c r="AU4" s="64"/>
      <c r="AV4" s="64"/>
      <c r="AW4" s="64"/>
      <c r="AX4" s="64"/>
      <c r="AY4" s="51"/>
      <c r="AZ4" s="64" t="s">
        <v>39</v>
      </c>
      <c r="BA4" s="64"/>
      <c r="BB4" s="64"/>
      <c r="BC4" s="93" t="s">
        <v>40</v>
      </c>
      <c r="BD4" s="93"/>
      <c r="BE4" s="93"/>
      <c r="BF4" s="93" t="s">
        <v>41</v>
      </c>
      <c r="BG4" s="93"/>
      <c r="BH4" s="93"/>
      <c r="BI4" s="93" t="s">
        <v>42</v>
      </c>
      <c r="BJ4" s="93"/>
      <c r="BK4" s="51"/>
      <c r="BL4" s="51"/>
      <c r="BM4" s="51"/>
      <c r="BN4" s="51"/>
      <c r="BO4" s="51"/>
      <c r="BP4" s="51"/>
      <c r="BQ4" s="51"/>
      <c r="BR4" s="51"/>
      <c r="BS4" s="51"/>
      <c r="BT4" s="51"/>
      <c r="BU4" s="51"/>
      <c r="BV4" s="51"/>
      <c r="BW4" s="51"/>
      <c r="BX4" s="51"/>
      <c r="BY4" s="51"/>
    </row>
    <row r="5" spans="1:77" ht="14.25" x14ac:dyDescent="0.1">
      <c r="A5" s="124" t="s">
        <v>43</v>
      </c>
      <c r="B5" s="124"/>
      <c r="C5" s="124"/>
      <c r="D5" s="137"/>
      <c r="E5" s="139">
        <f>INT(D5/2-5)</f>
        <v>-5</v>
      </c>
      <c r="F5" s="141" t="s">
        <v>44</v>
      </c>
      <c r="G5" s="143"/>
      <c r="H5" s="139">
        <f>E5+G5+IF(F5="有",V4,0)</f>
        <v>-5</v>
      </c>
      <c r="I5" s="51"/>
      <c r="J5" s="149"/>
      <c r="K5" s="150"/>
      <c r="L5" s="150"/>
      <c r="M5" s="175"/>
      <c r="N5" s="176"/>
      <c r="O5" s="176"/>
      <c r="P5" s="176"/>
      <c r="Q5" s="177"/>
      <c r="R5" s="178"/>
      <c r="S5" s="147"/>
      <c r="T5" s="147"/>
      <c r="U5" s="147"/>
      <c r="V5" s="171"/>
      <c r="W5" s="171"/>
      <c r="X5" s="171"/>
      <c r="Y5" s="94"/>
      <c r="Z5" s="94"/>
      <c r="AA5" s="51"/>
      <c r="AB5" s="51"/>
      <c r="AC5" s="51"/>
      <c r="AD5" s="95" t="s">
        <v>7</v>
      </c>
      <c r="AE5" s="96"/>
      <c r="AF5" s="96"/>
      <c r="AG5" s="97"/>
      <c r="AH5" s="98"/>
      <c r="AI5" s="98"/>
      <c r="AJ5" s="98"/>
      <c r="AK5" s="98"/>
      <c r="AL5" s="98"/>
      <c r="AM5" s="98"/>
      <c r="AN5" s="98"/>
      <c r="AO5" s="98"/>
      <c r="AP5" s="98"/>
      <c r="AQ5" s="98"/>
      <c r="AR5" s="98"/>
      <c r="AS5" s="98"/>
      <c r="AT5" s="98"/>
      <c r="AU5" s="98"/>
      <c r="AV5" s="98"/>
      <c r="AW5" s="98"/>
      <c r="AX5" s="98"/>
      <c r="AY5" s="51"/>
      <c r="AZ5" s="65"/>
      <c r="BA5" s="65"/>
      <c r="BB5" s="95"/>
      <c r="BC5" s="99"/>
      <c r="BD5" s="100"/>
      <c r="BE5" s="62" t="s">
        <v>45</v>
      </c>
      <c r="BF5" s="100"/>
      <c r="BG5" s="101"/>
      <c r="BH5" s="102"/>
      <c r="BI5" s="102"/>
      <c r="BJ5" s="103"/>
      <c r="BK5" s="51"/>
      <c r="BL5" s="51"/>
      <c r="BM5" s="51"/>
      <c r="BN5" s="51"/>
      <c r="BO5" s="51"/>
      <c r="BP5" s="51"/>
      <c r="BQ5" s="51"/>
      <c r="BR5" s="51"/>
      <c r="BS5" s="51"/>
      <c r="BT5" s="51"/>
      <c r="BU5" s="51"/>
      <c r="BV5" s="51"/>
      <c r="BW5" s="51"/>
      <c r="BX5" s="51"/>
      <c r="BY5" s="51"/>
    </row>
    <row r="6" spans="1:77" ht="14.25" x14ac:dyDescent="0.1">
      <c r="A6" s="147"/>
      <c r="B6" s="147"/>
      <c r="C6" s="147"/>
      <c r="D6" s="138"/>
      <c r="E6" s="140"/>
      <c r="F6" s="142"/>
      <c r="G6" s="144"/>
      <c r="H6" s="140"/>
      <c r="I6" s="51"/>
      <c r="J6" s="64" t="s">
        <v>46</v>
      </c>
      <c r="K6" s="64"/>
      <c r="L6" s="64"/>
      <c r="M6" s="64"/>
      <c r="N6" s="64"/>
      <c r="O6" s="64"/>
      <c r="P6" s="64"/>
      <c r="Q6" s="64"/>
      <c r="R6" s="64" t="s">
        <v>47</v>
      </c>
      <c r="S6" s="64"/>
      <c r="T6" s="64"/>
      <c r="U6" s="64"/>
      <c r="V6" s="64"/>
      <c r="W6" s="64" t="s">
        <v>48</v>
      </c>
      <c r="X6" s="64"/>
      <c r="Y6" s="64"/>
      <c r="Z6" s="64"/>
      <c r="AA6" s="51"/>
      <c r="AB6" s="51"/>
      <c r="AC6" s="51"/>
      <c r="AD6" s="95" t="s">
        <v>49</v>
      </c>
      <c r="AE6" s="96"/>
      <c r="AF6" s="96"/>
      <c r="AG6" s="97"/>
      <c r="AH6" s="98"/>
      <c r="AI6" s="98"/>
      <c r="AJ6" s="98"/>
      <c r="AK6" s="98"/>
      <c r="AL6" s="98"/>
      <c r="AM6" s="98"/>
      <c r="AN6" s="98"/>
      <c r="AO6" s="98"/>
      <c r="AP6" s="98"/>
      <c r="AQ6" s="98"/>
      <c r="AR6" s="98"/>
      <c r="AS6" s="98"/>
      <c r="AT6" s="98"/>
      <c r="AU6" s="98"/>
      <c r="AV6" s="98"/>
      <c r="AW6" s="98"/>
      <c r="AX6" s="98"/>
      <c r="AY6" s="51"/>
      <c r="AZ6" s="65"/>
      <c r="BA6" s="65"/>
      <c r="BB6" s="65"/>
      <c r="BC6" s="99"/>
      <c r="BD6" s="100"/>
      <c r="BE6" s="62" t="s">
        <v>45</v>
      </c>
      <c r="BF6" s="100"/>
      <c r="BG6" s="101"/>
      <c r="BH6" s="102"/>
      <c r="BI6" s="102"/>
      <c r="BJ6" s="103"/>
      <c r="BK6" s="51"/>
      <c r="BL6" s="51"/>
      <c r="BM6" s="51"/>
      <c r="BN6" s="51"/>
      <c r="BO6" s="51"/>
      <c r="BP6" s="51"/>
      <c r="BQ6" s="51"/>
      <c r="BR6" s="51"/>
      <c r="BS6" s="51"/>
      <c r="BT6" s="51"/>
      <c r="BU6" s="51"/>
      <c r="BV6" s="51"/>
      <c r="BW6" s="51"/>
      <c r="BX6" s="51"/>
      <c r="BY6" s="51"/>
    </row>
    <row r="7" spans="1:77" ht="14.25" x14ac:dyDescent="0.1">
      <c r="A7" s="124" t="s">
        <v>50</v>
      </c>
      <c r="B7" s="124"/>
      <c r="C7" s="124"/>
      <c r="D7" s="137"/>
      <c r="E7" s="139">
        <f>INT(D7/2-5)</f>
        <v>-5</v>
      </c>
      <c r="F7" s="141" t="s">
        <v>44</v>
      </c>
      <c r="G7" s="143"/>
      <c r="H7" s="139">
        <f>E7+G7+IF(F7="有",V4,0)</f>
        <v>-5</v>
      </c>
      <c r="I7" s="51"/>
      <c r="J7" s="65" t="s">
        <v>51</v>
      </c>
      <c r="K7" s="65"/>
      <c r="L7" s="65"/>
      <c r="M7" s="104"/>
      <c r="N7" s="105"/>
      <c r="O7" s="105"/>
      <c r="P7" s="105"/>
      <c r="Q7" s="106"/>
      <c r="R7" s="107"/>
      <c r="S7" s="108"/>
      <c r="T7" s="108"/>
      <c r="U7" s="108"/>
      <c r="V7" s="109"/>
      <c r="W7" s="110"/>
      <c r="X7" s="110"/>
      <c r="Y7" s="110"/>
      <c r="Z7" s="110"/>
      <c r="AA7" s="51"/>
      <c r="AB7" s="51"/>
      <c r="AC7" s="51"/>
      <c r="AD7" s="95" t="s">
        <v>9</v>
      </c>
      <c r="AE7" s="96"/>
      <c r="AF7" s="96"/>
      <c r="AG7" s="97"/>
      <c r="AH7" s="98"/>
      <c r="AI7" s="98"/>
      <c r="AJ7" s="98"/>
      <c r="AK7" s="98"/>
      <c r="AL7" s="98"/>
      <c r="AM7" s="98"/>
      <c r="AN7" s="98"/>
      <c r="AO7" s="98"/>
      <c r="AP7" s="98"/>
      <c r="AQ7" s="98"/>
      <c r="AR7" s="98"/>
      <c r="AS7" s="98"/>
      <c r="AT7" s="98"/>
      <c r="AU7" s="98"/>
      <c r="AV7" s="98"/>
      <c r="AW7" s="98"/>
      <c r="AX7" s="98"/>
      <c r="AY7" s="51"/>
      <c r="AZ7" s="65"/>
      <c r="BA7" s="65"/>
      <c r="BB7" s="65"/>
      <c r="BC7" s="99"/>
      <c r="BD7" s="100"/>
      <c r="BE7" s="62" t="s">
        <v>45</v>
      </c>
      <c r="BF7" s="100"/>
      <c r="BG7" s="101"/>
      <c r="BH7" s="102"/>
      <c r="BI7" s="102"/>
      <c r="BJ7" s="103"/>
      <c r="BK7" s="51"/>
      <c r="BL7" s="51"/>
      <c r="BM7" s="51"/>
      <c r="BN7" s="51"/>
      <c r="BO7" s="51"/>
      <c r="BP7" s="51"/>
      <c r="BQ7" s="51"/>
      <c r="BR7" s="51"/>
      <c r="BS7" s="51"/>
      <c r="BT7" s="51"/>
      <c r="BU7" s="51"/>
      <c r="BV7" s="51"/>
      <c r="BW7" s="51"/>
      <c r="BX7" s="51"/>
      <c r="BY7" s="51"/>
    </row>
    <row r="8" spans="1:77" ht="14.25" x14ac:dyDescent="0.1">
      <c r="A8" s="147"/>
      <c r="B8" s="147"/>
      <c r="C8" s="147"/>
      <c r="D8" s="138"/>
      <c r="E8" s="140"/>
      <c r="F8" s="142"/>
      <c r="G8" s="144"/>
      <c r="H8" s="140"/>
      <c r="I8" s="51"/>
      <c r="J8" s="65" t="s">
        <v>54</v>
      </c>
      <c r="K8" s="65"/>
      <c r="L8" s="65"/>
      <c r="M8" s="111"/>
      <c r="N8" s="112"/>
      <c r="O8" s="112"/>
      <c r="P8" s="112"/>
      <c r="Q8" s="113"/>
      <c r="R8" s="107"/>
      <c r="S8" s="108"/>
      <c r="T8" s="108"/>
      <c r="U8" s="108"/>
      <c r="V8" s="109"/>
      <c r="W8" s="110"/>
      <c r="X8" s="110"/>
      <c r="Y8" s="110"/>
      <c r="Z8" s="110"/>
      <c r="AA8" s="51"/>
      <c r="AB8" s="51"/>
      <c r="AC8" s="51"/>
      <c r="AD8" s="95"/>
      <c r="AE8" s="96"/>
      <c r="AF8" s="96"/>
      <c r="AG8" s="97"/>
      <c r="AH8" s="98"/>
      <c r="AI8" s="98"/>
      <c r="AJ8" s="98"/>
      <c r="AK8" s="98"/>
      <c r="AL8" s="98"/>
      <c r="AM8" s="98"/>
      <c r="AN8" s="98"/>
      <c r="AO8" s="98"/>
      <c r="AP8" s="98"/>
      <c r="AQ8" s="98"/>
      <c r="AR8" s="98"/>
      <c r="AS8" s="98"/>
      <c r="AT8" s="98"/>
      <c r="AU8" s="98"/>
      <c r="AV8" s="98"/>
      <c r="AW8" s="98"/>
      <c r="AX8" s="98"/>
      <c r="AY8" s="51"/>
      <c r="AZ8" s="65"/>
      <c r="BA8" s="65"/>
      <c r="BB8" s="65"/>
      <c r="BC8" s="99"/>
      <c r="BD8" s="100"/>
      <c r="BE8" s="62" t="s">
        <v>45</v>
      </c>
      <c r="BF8" s="100"/>
      <c r="BG8" s="101"/>
      <c r="BH8" s="102"/>
      <c r="BI8" s="102"/>
      <c r="BJ8" s="103"/>
      <c r="BK8" s="51"/>
      <c r="BL8" s="51"/>
      <c r="BM8" s="51"/>
      <c r="BN8" s="51"/>
      <c r="BO8" s="51"/>
      <c r="BP8" s="51"/>
      <c r="BQ8" s="51"/>
      <c r="BR8" s="51"/>
      <c r="BS8" s="51"/>
      <c r="BT8" s="51"/>
      <c r="BU8" s="51"/>
      <c r="BV8" s="51"/>
      <c r="BW8" s="51"/>
      <c r="BX8" s="51"/>
      <c r="BY8" s="51"/>
    </row>
    <row r="9" spans="1:77" ht="14.25" x14ac:dyDescent="0.1">
      <c r="A9" s="124" t="s">
        <v>56</v>
      </c>
      <c r="B9" s="124"/>
      <c r="C9" s="124"/>
      <c r="D9" s="137"/>
      <c r="E9" s="139">
        <f>INT(D9/2-5)</f>
        <v>-5</v>
      </c>
      <c r="F9" s="141" t="s">
        <v>44</v>
      </c>
      <c r="G9" s="143"/>
      <c r="H9" s="139">
        <f>E9+G9+IF(F9="有",V4,0)</f>
        <v>-5</v>
      </c>
      <c r="I9" s="51"/>
      <c r="J9" s="65" t="s">
        <v>57</v>
      </c>
      <c r="K9" s="65"/>
      <c r="L9" s="65"/>
      <c r="M9" s="111"/>
      <c r="N9" s="112"/>
      <c r="O9" s="112"/>
      <c r="P9" s="112"/>
      <c r="Q9" s="113"/>
      <c r="R9" s="107"/>
      <c r="S9" s="108"/>
      <c r="T9" s="108"/>
      <c r="U9" s="108"/>
      <c r="V9" s="109"/>
      <c r="W9" s="110"/>
      <c r="X9" s="110"/>
      <c r="Y9" s="110"/>
      <c r="Z9" s="110"/>
      <c r="AA9" s="51"/>
      <c r="AB9" s="51"/>
      <c r="AC9" s="51"/>
      <c r="AD9" s="95"/>
      <c r="AE9" s="96"/>
      <c r="AF9" s="96"/>
      <c r="AG9" s="97"/>
      <c r="AH9" s="98"/>
      <c r="AI9" s="98"/>
      <c r="AJ9" s="98"/>
      <c r="AK9" s="98"/>
      <c r="AL9" s="98"/>
      <c r="AM9" s="98"/>
      <c r="AN9" s="98"/>
      <c r="AO9" s="98"/>
      <c r="AP9" s="98"/>
      <c r="AQ9" s="98"/>
      <c r="AR9" s="98"/>
      <c r="AS9" s="98"/>
      <c r="AT9" s="98"/>
      <c r="AU9" s="98"/>
      <c r="AV9" s="98"/>
      <c r="AW9" s="98"/>
      <c r="AX9" s="98"/>
      <c r="AY9" s="51"/>
      <c r="AZ9" s="65"/>
      <c r="BA9" s="65"/>
      <c r="BB9" s="65"/>
      <c r="BC9" s="99"/>
      <c r="BD9" s="100"/>
      <c r="BE9" s="62" t="s">
        <v>45</v>
      </c>
      <c r="BF9" s="100"/>
      <c r="BG9" s="101"/>
      <c r="BH9" s="102"/>
      <c r="BI9" s="102"/>
      <c r="BJ9" s="103"/>
      <c r="BK9" s="51"/>
      <c r="BL9" s="51"/>
      <c r="BM9" s="51"/>
      <c r="BN9" s="51"/>
      <c r="BO9" s="51"/>
      <c r="BP9" s="51"/>
      <c r="BQ9" s="51"/>
      <c r="BR9" s="51"/>
      <c r="BS9" s="51"/>
      <c r="BT9" s="51"/>
      <c r="BU9" s="51"/>
      <c r="BV9" s="51"/>
      <c r="BW9" s="51"/>
      <c r="BX9" s="51"/>
      <c r="BY9" s="51"/>
    </row>
    <row r="10" spans="1:77" ht="15" customHeight="1" x14ac:dyDescent="0.1">
      <c r="A10" s="147"/>
      <c r="B10" s="147"/>
      <c r="C10" s="147"/>
      <c r="D10" s="138"/>
      <c r="E10" s="140"/>
      <c r="F10" s="142"/>
      <c r="G10" s="144"/>
      <c r="H10" s="140"/>
      <c r="I10" s="51"/>
      <c r="J10" s="65" t="s">
        <v>60</v>
      </c>
      <c r="K10" s="65"/>
      <c r="L10" s="65"/>
      <c r="M10" s="111"/>
      <c r="N10" s="112"/>
      <c r="O10" s="112"/>
      <c r="P10" s="112"/>
      <c r="Q10" s="113"/>
      <c r="R10" s="114"/>
      <c r="S10" s="115"/>
      <c r="T10" s="115"/>
      <c r="U10" s="115"/>
      <c r="V10" s="116"/>
      <c r="W10" s="110"/>
      <c r="X10" s="110"/>
      <c r="Y10" s="110"/>
      <c r="Z10" s="110"/>
      <c r="AA10" s="51"/>
      <c r="AB10" s="51"/>
      <c r="AC10" s="51"/>
      <c r="AD10" s="95"/>
      <c r="AE10" s="96"/>
      <c r="AF10" s="96"/>
      <c r="AG10" s="97"/>
      <c r="AH10" s="98"/>
      <c r="AI10" s="98"/>
      <c r="AJ10" s="98"/>
      <c r="AK10" s="98"/>
      <c r="AL10" s="98"/>
      <c r="AM10" s="98"/>
      <c r="AN10" s="98"/>
      <c r="AO10" s="98"/>
      <c r="AP10" s="98"/>
      <c r="AQ10" s="98"/>
      <c r="AR10" s="98"/>
      <c r="AS10" s="98"/>
      <c r="AT10" s="98"/>
      <c r="AU10" s="98"/>
      <c r="AV10" s="98"/>
      <c r="AW10" s="98"/>
      <c r="AX10" s="98"/>
      <c r="AY10" s="51"/>
      <c r="AZ10" s="65"/>
      <c r="BA10" s="65"/>
      <c r="BB10" s="65"/>
      <c r="BC10" s="99"/>
      <c r="BD10" s="100"/>
      <c r="BE10" s="62" t="s">
        <v>45</v>
      </c>
      <c r="BF10" s="100"/>
      <c r="BG10" s="101"/>
      <c r="BH10" s="102"/>
      <c r="BI10" s="102"/>
      <c r="BJ10" s="103"/>
      <c r="BK10" s="51"/>
      <c r="BL10" s="51"/>
      <c r="BM10" s="51"/>
      <c r="BN10" s="51"/>
      <c r="BO10" s="51"/>
      <c r="BP10" s="51"/>
      <c r="BQ10" s="51"/>
      <c r="BR10" s="51"/>
      <c r="BS10" s="51"/>
      <c r="BT10" s="51"/>
      <c r="BU10" s="51"/>
      <c r="BV10" s="51"/>
      <c r="BW10" s="51"/>
      <c r="BX10" s="51"/>
      <c r="BY10" s="51"/>
    </row>
    <row r="11" spans="1:77" ht="14.25" x14ac:dyDescent="0.1">
      <c r="A11" s="124" t="s">
        <v>64</v>
      </c>
      <c r="B11" s="124"/>
      <c r="C11" s="124"/>
      <c r="D11" s="137"/>
      <c r="E11" s="139">
        <f>INT(D11/2-5)</f>
        <v>-5</v>
      </c>
      <c r="F11" s="141" t="s">
        <v>44</v>
      </c>
      <c r="G11" s="143"/>
      <c r="H11" s="139">
        <f>E11+G11+IF(F11="有",V4,0)</f>
        <v>-5</v>
      </c>
      <c r="I11" s="51"/>
      <c r="J11" s="51"/>
      <c r="K11" s="51"/>
      <c r="L11" s="51"/>
      <c r="M11" s="64" t="s">
        <v>40</v>
      </c>
      <c r="N11" s="64"/>
      <c r="O11" s="64"/>
      <c r="P11" s="64"/>
      <c r="Q11" s="51"/>
      <c r="R11" s="64" t="s">
        <v>41</v>
      </c>
      <c r="S11" s="64"/>
      <c r="T11" s="64"/>
      <c r="U11" s="64"/>
      <c r="V11" s="64" t="s">
        <v>65</v>
      </c>
      <c r="W11" s="64"/>
      <c r="X11" s="64"/>
      <c r="Y11" s="64"/>
      <c r="Z11" s="64"/>
      <c r="AA11" s="51"/>
      <c r="AB11" s="51"/>
      <c r="AC11" s="51"/>
      <c r="AD11" s="95"/>
      <c r="AE11" s="96"/>
      <c r="AF11" s="96"/>
      <c r="AG11" s="97"/>
      <c r="AH11" s="98"/>
      <c r="AI11" s="98"/>
      <c r="AJ11" s="98"/>
      <c r="AK11" s="98"/>
      <c r="AL11" s="98"/>
      <c r="AM11" s="98"/>
      <c r="AN11" s="98"/>
      <c r="AO11" s="98"/>
      <c r="AP11" s="98"/>
      <c r="AQ11" s="98"/>
      <c r="AR11" s="98"/>
      <c r="AS11" s="98"/>
      <c r="AT11" s="98"/>
      <c r="AU11" s="98"/>
      <c r="AV11" s="98"/>
      <c r="AW11" s="98"/>
      <c r="AX11" s="98"/>
      <c r="AY11" s="51"/>
      <c r="AZ11" s="65"/>
      <c r="BA11" s="65"/>
      <c r="BB11" s="65"/>
      <c r="BC11" s="99"/>
      <c r="BD11" s="100"/>
      <c r="BE11" s="62" t="s">
        <v>45</v>
      </c>
      <c r="BF11" s="100"/>
      <c r="BG11" s="101"/>
      <c r="BH11" s="102"/>
      <c r="BI11" s="102"/>
      <c r="BJ11" s="103"/>
      <c r="BK11" s="51"/>
      <c r="BL11" s="51"/>
      <c r="BM11" s="51"/>
      <c r="BN11" s="51"/>
      <c r="BO11" s="51"/>
      <c r="BP11" s="51"/>
      <c r="BQ11" s="51"/>
      <c r="BR11" s="51"/>
      <c r="BS11" s="51"/>
      <c r="BT11" s="51"/>
      <c r="BU11" s="51"/>
      <c r="BV11" s="51"/>
      <c r="BW11" s="51"/>
      <c r="BX11" s="51"/>
      <c r="BY11" s="51"/>
    </row>
    <row r="12" spans="1:77" ht="14.25" x14ac:dyDescent="0.1">
      <c r="A12" s="147"/>
      <c r="B12" s="147"/>
      <c r="C12" s="147"/>
      <c r="D12" s="138"/>
      <c r="E12" s="140"/>
      <c r="F12" s="142"/>
      <c r="G12" s="144"/>
      <c r="H12" s="140"/>
      <c r="I12" s="51"/>
      <c r="J12" s="148" t="s">
        <v>66</v>
      </c>
      <c r="K12" s="124"/>
      <c r="L12" s="124"/>
      <c r="M12" s="155"/>
      <c r="N12" s="156"/>
      <c r="O12" s="156"/>
      <c r="P12" s="156"/>
      <c r="Q12" s="145" t="s">
        <v>45</v>
      </c>
      <c r="R12" s="151">
        <f>图表!B21+V12</f>
        <v>0</v>
      </c>
      <c r="S12" s="151"/>
      <c r="T12" s="151"/>
      <c r="U12" s="152"/>
      <c r="V12" s="117"/>
      <c r="W12" s="118"/>
      <c r="X12" s="118"/>
      <c r="Y12" s="118"/>
      <c r="Z12" s="119"/>
      <c r="AA12" s="51"/>
      <c r="AB12" s="51"/>
      <c r="AC12" s="51"/>
      <c r="AD12" s="95"/>
      <c r="AE12" s="96"/>
      <c r="AF12" s="96"/>
      <c r="AG12" s="97"/>
      <c r="AH12" s="98"/>
      <c r="AI12" s="98"/>
      <c r="AJ12" s="98"/>
      <c r="AK12" s="98"/>
      <c r="AL12" s="98"/>
      <c r="AM12" s="98"/>
      <c r="AN12" s="98"/>
      <c r="AO12" s="98"/>
      <c r="AP12" s="98"/>
      <c r="AQ12" s="98"/>
      <c r="AR12" s="98"/>
      <c r="AS12" s="98"/>
      <c r="AT12" s="98"/>
      <c r="AU12" s="98"/>
      <c r="AV12" s="98"/>
      <c r="AW12" s="98"/>
      <c r="AX12" s="98"/>
      <c r="AY12" s="51"/>
      <c r="AZ12" s="65"/>
      <c r="BA12" s="65"/>
      <c r="BB12" s="65"/>
      <c r="BC12" s="99"/>
      <c r="BD12" s="100"/>
      <c r="BE12" s="62" t="s">
        <v>45</v>
      </c>
      <c r="BF12" s="100"/>
      <c r="BG12" s="101"/>
      <c r="BH12" s="102"/>
      <c r="BI12" s="102"/>
      <c r="BJ12" s="103"/>
      <c r="BK12" s="51"/>
      <c r="BL12" s="51"/>
      <c r="BM12" s="51"/>
      <c r="BN12" s="51"/>
      <c r="BO12" s="51"/>
      <c r="BP12" s="51"/>
      <c r="BQ12" s="51"/>
      <c r="BR12" s="51"/>
      <c r="BS12" s="51"/>
      <c r="BT12" s="51"/>
      <c r="BU12" s="51"/>
      <c r="BV12" s="51"/>
      <c r="BW12" s="51"/>
      <c r="BX12" s="51"/>
      <c r="BY12" s="51"/>
    </row>
    <row r="13" spans="1:77" ht="14.25" x14ac:dyDescent="0.1">
      <c r="A13" s="124" t="s">
        <v>67</v>
      </c>
      <c r="B13" s="124"/>
      <c r="C13" s="124"/>
      <c r="D13" s="137"/>
      <c r="E13" s="139">
        <f>INT(D13/2-5)</f>
        <v>-5</v>
      </c>
      <c r="F13" s="141" t="s">
        <v>44</v>
      </c>
      <c r="G13" s="143"/>
      <c r="H13" s="139">
        <f>E13+G13+IF(F13="有",V4,0)</f>
        <v>-5</v>
      </c>
      <c r="I13" s="51"/>
      <c r="J13" s="149"/>
      <c r="K13" s="150"/>
      <c r="L13" s="150"/>
      <c r="M13" s="157"/>
      <c r="N13" s="158"/>
      <c r="O13" s="158"/>
      <c r="P13" s="158"/>
      <c r="Q13" s="146"/>
      <c r="R13" s="153"/>
      <c r="S13" s="153"/>
      <c r="T13" s="153"/>
      <c r="U13" s="154"/>
      <c r="V13" s="64" t="s">
        <v>68</v>
      </c>
      <c r="W13" s="64"/>
      <c r="X13" s="64"/>
      <c r="Y13" s="64"/>
      <c r="Z13" s="64"/>
      <c r="AA13" s="51"/>
      <c r="AB13" s="51"/>
      <c r="AC13" s="51"/>
      <c r="AD13" s="95"/>
      <c r="AE13" s="96"/>
      <c r="AF13" s="96"/>
      <c r="AG13" s="97"/>
      <c r="AH13" s="98"/>
      <c r="AI13" s="98"/>
      <c r="AJ13" s="98"/>
      <c r="AK13" s="98"/>
      <c r="AL13" s="98"/>
      <c r="AM13" s="98"/>
      <c r="AN13" s="98"/>
      <c r="AO13" s="98"/>
      <c r="AP13" s="98"/>
      <c r="AQ13" s="98"/>
      <c r="AR13" s="98"/>
      <c r="AS13" s="98"/>
      <c r="AT13" s="98"/>
      <c r="AU13" s="98"/>
      <c r="AV13" s="98"/>
      <c r="AW13" s="98"/>
      <c r="AX13" s="98"/>
      <c r="AY13" s="51"/>
      <c r="AZ13" s="65"/>
      <c r="BA13" s="65"/>
      <c r="BB13" s="65"/>
      <c r="BC13" s="99"/>
      <c r="BD13" s="100"/>
      <c r="BE13" s="62" t="s">
        <v>45</v>
      </c>
      <c r="BF13" s="100"/>
      <c r="BG13" s="101"/>
      <c r="BH13" s="102"/>
      <c r="BI13" s="102"/>
      <c r="BJ13" s="103"/>
      <c r="BK13" s="51"/>
      <c r="BL13" s="51"/>
      <c r="BM13" s="51"/>
      <c r="BN13" s="51"/>
      <c r="BO13" s="51"/>
      <c r="BP13" s="51"/>
      <c r="BQ13" s="51"/>
      <c r="BR13" s="51"/>
      <c r="BS13" s="51"/>
      <c r="BT13" s="51"/>
      <c r="BU13" s="51"/>
      <c r="BV13" s="51"/>
      <c r="BW13" s="51"/>
      <c r="BX13" s="51"/>
      <c r="BY13" s="51"/>
    </row>
    <row r="14" spans="1:77" ht="14.25" x14ac:dyDescent="0.1">
      <c r="A14" s="147"/>
      <c r="B14" s="147"/>
      <c r="C14" s="147"/>
      <c r="D14" s="138"/>
      <c r="E14" s="140"/>
      <c r="F14" s="142"/>
      <c r="G14" s="144"/>
      <c r="H14" s="140"/>
      <c r="I14" s="51"/>
      <c r="J14" s="65" t="s">
        <v>69</v>
      </c>
      <c r="K14" s="65"/>
      <c r="L14" s="95"/>
      <c r="M14" s="120">
        <v>1</v>
      </c>
      <c r="N14" s="121"/>
      <c r="O14" s="121"/>
      <c r="P14" s="121"/>
      <c r="Q14" s="61" t="s">
        <v>45</v>
      </c>
      <c r="R14" s="122">
        <f>M4</f>
        <v>0</v>
      </c>
      <c r="S14" s="122"/>
      <c r="T14" s="122"/>
      <c r="U14" s="123"/>
      <c r="V14" s="117"/>
      <c r="W14" s="118"/>
      <c r="X14" s="118"/>
      <c r="Y14" s="118"/>
      <c r="Z14" s="119"/>
      <c r="AA14" s="51"/>
      <c r="AB14" s="51"/>
      <c r="AC14" s="51"/>
      <c r="AD14" s="95" t="s">
        <v>22</v>
      </c>
      <c r="AE14" s="96"/>
      <c r="AF14" s="96"/>
      <c r="AG14" s="97"/>
      <c r="AH14" s="98"/>
      <c r="AI14" s="98"/>
      <c r="AJ14" s="98"/>
      <c r="AK14" s="98"/>
      <c r="AL14" s="98"/>
      <c r="AM14" s="98"/>
      <c r="AN14" s="98"/>
      <c r="AO14" s="98"/>
      <c r="AP14" s="98"/>
      <c r="AQ14" s="98"/>
      <c r="AR14" s="98"/>
      <c r="AS14" s="98"/>
      <c r="AT14" s="98"/>
      <c r="AU14" s="98"/>
      <c r="AV14" s="98"/>
      <c r="AW14" s="98"/>
      <c r="AX14" s="98"/>
      <c r="AY14" s="51"/>
      <c r="AZ14" s="65"/>
      <c r="BA14" s="65"/>
      <c r="BB14" s="65"/>
      <c r="BC14" s="99"/>
      <c r="BD14" s="100"/>
      <c r="BE14" s="62" t="s">
        <v>45</v>
      </c>
      <c r="BF14" s="100"/>
      <c r="BG14" s="101"/>
      <c r="BH14" s="102"/>
      <c r="BI14" s="102"/>
      <c r="BJ14" s="103"/>
      <c r="BK14" s="51"/>
      <c r="BL14" s="51"/>
      <c r="BM14" s="51"/>
      <c r="BN14" s="51"/>
      <c r="BO14" s="51"/>
      <c r="BP14" s="51"/>
      <c r="BQ14" s="51"/>
      <c r="BR14" s="51"/>
      <c r="BS14" s="51"/>
      <c r="BT14" s="51"/>
      <c r="BU14" s="51"/>
      <c r="BV14" s="51"/>
      <c r="BW14" s="51"/>
      <c r="BX14" s="51"/>
      <c r="BY14" s="51"/>
    </row>
    <row r="15" spans="1:77" ht="14.25" x14ac:dyDescent="0.1">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row>
    <row r="16" spans="1:77" ht="17.25" x14ac:dyDescent="0.1">
      <c r="A16" s="92" t="s">
        <v>70</v>
      </c>
      <c r="B16" s="92"/>
      <c r="C16" s="92"/>
      <c r="D16" s="92"/>
      <c r="E16" s="92"/>
      <c r="F16" s="92"/>
      <c r="G16" s="51"/>
      <c r="H16" s="92" t="s">
        <v>71</v>
      </c>
      <c r="I16" s="92"/>
      <c r="J16" s="92"/>
      <c r="K16" s="92"/>
      <c r="L16" s="92"/>
      <c r="M16" s="92"/>
      <c r="N16" s="92"/>
      <c r="O16" s="92"/>
      <c r="P16" s="92"/>
      <c r="Q16" s="92"/>
      <c r="R16" s="92"/>
      <c r="S16" s="92"/>
      <c r="T16" s="92"/>
      <c r="U16" s="92"/>
      <c r="V16" s="92"/>
      <c r="W16" s="92"/>
      <c r="X16" s="92"/>
      <c r="Y16" s="92"/>
      <c r="Z16" s="92"/>
      <c r="AA16" s="92"/>
      <c r="AB16" s="51"/>
      <c r="AC16" s="51"/>
      <c r="AD16" s="92" t="s">
        <v>72</v>
      </c>
      <c r="AE16" s="92"/>
      <c r="AF16" s="92"/>
      <c r="AG16" s="92"/>
      <c r="AH16" s="92"/>
      <c r="AI16" s="92"/>
      <c r="AJ16" s="92"/>
      <c r="AK16" s="92"/>
      <c r="AL16" s="92"/>
      <c r="AM16" s="92"/>
      <c r="AN16" s="92"/>
      <c r="AO16" s="92"/>
      <c r="AP16" s="92"/>
      <c r="AQ16" s="92"/>
      <c r="AR16" s="92"/>
      <c r="AS16" s="92"/>
      <c r="AT16" s="92"/>
      <c r="AU16" s="92"/>
      <c r="AV16" s="92"/>
      <c r="AW16" s="92"/>
      <c r="AX16" s="92"/>
      <c r="AY16" s="51"/>
      <c r="AZ16" s="92" t="s">
        <v>73</v>
      </c>
      <c r="BA16" s="92"/>
      <c r="BB16" s="92"/>
      <c r="BC16" s="92"/>
      <c r="BD16" s="92"/>
      <c r="BE16" s="92"/>
      <c r="BF16" s="92"/>
      <c r="BG16" s="92"/>
      <c r="BH16" s="92"/>
      <c r="BI16" s="92"/>
      <c r="BJ16" s="92"/>
      <c r="BK16" s="51"/>
      <c r="BL16" s="51"/>
      <c r="BM16" s="51"/>
      <c r="BN16" s="51"/>
      <c r="BO16" s="51"/>
      <c r="BP16" s="51"/>
      <c r="BQ16" s="51"/>
      <c r="BR16" s="51"/>
      <c r="BS16" s="51"/>
      <c r="BT16" s="51"/>
      <c r="BU16" s="51"/>
      <c r="BV16" s="51"/>
      <c r="BW16" s="51"/>
      <c r="BX16" s="51"/>
      <c r="BY16" s="51"/>
    </row>
    <row r="17" spans="1:77" ht="14.25" x14ac:dyDescent="0.2">
      <c r="A17" s="64" t="s">
        <v>74</v>
      </c>
      <c r="B17" s="64"/>
      <c r="C17" s="64"/>
      <c r="D17" s="51" t="s">
        <v>75</v>
      </c>
      <c r="E17" s="51" t="s">
        <v>76</v>
      </c>
      <c r="F17" s="51" t="s">
        <v>77</v>
      </c>
      <c r="G17" s="51"/>
      <c r="H17" s="51"/>
      <c r="I17" s="64" t="s">
        <v>78</v>
      </c>
      <c r="J17" s="64"/>
      <c r="K17" s="64"/>
      <c r="L17" s="64"/>
      <c r="M17" s="64" t="s">
        <v>79</v>
      </c>
      <c r="N17" s="64"/>
      <c r="O17" s="64"/>
      <c r="P17" s="64"/>
      <c r="Q17" s="64" t="s">
        <v>80</v>
      </c>
      <c r="R17" s="64"/>
      <c r="S17" s="64"/>
      <c r="T17" s="64"/>
      <c r="U17" s="64"/>
      <c r="V17" s="51"/>
      <c r="W17" s="51"/>
      <c r="X17" s="51"/>
      <c r="Y17" s="51"/>
      <c r="Z17" s="51"/>
      <c r="AA17" s="51"/>
      <c r="AB17" s="51"/>
      <c r="AC17" s="51"/>
      <c r="AD17" s="64" t="s">
        <v>48</v>
      </c>
      <c r="AE17" s="64"/>
      <c r="AF17" s="64" t="s">
        <v>39</v>
      </c>
      <c r="AG17" s="64"/>
      <c r="AH17" s="64"/>
      <c r="AI17" s="64"/>
      <c r="AJ17" s="64" t="s">
        <v>38</v>
      </c>
      <c r="AK17" s="64"/>
      <c r="AL17" s="64"/>
      <c r="AM17" s="64"/>
      <c r="AN17" s="64"/>
      <c r="AO17" s="64"/>
      <c r="AP17" s="64"/>
      <c r="AQ17" s="64"/>
      <c r="AR17" s="64"/>
      <c r="AS17" s="64"/>
      <c r="AT17" s="64"/>
      <c r="AU17" s="64" t="s">
        <v>81</v>
      </c>
      <c r="AV17" s="64"/>
      <c r="AW17" s="64"/>
      <c r="AX17" s="64"/>
      <c r="AY17" s="51"/>
      <c r="AZ17" s="159" t="s">
        <v>82</v>
      </c>
      <c r="BA17" s="160"/>
      <c r="BB17" s="160"/>
      <c r="BC17" s="160"/>
      <c r="BD17" s="160"/>
      <c r="BE17" s="160"/>
      <c r="BF17" s="160"/>
      <c r="BG17" s="160"/>
      <c r="BH17" s="160"/>
      <c r="BI17" s="160"/>
      <c r="BJ17" s="161"/>
      <c r="BK17" s="51"/>
      <c r="BL17" s="51"/>
      <c r="BM17" s="51"/>
      <c r="BN17" s="51"/>
      <c r="BO17" s="51"/>
      <c r="BP17" s="51"/>
      <c r="BQ17" s="51"/>
      <c r="BR17" s="51"/>
      <c r="BS17" s="51"/>
      <c r="BT17" s="51"/>
      <c r="BU17" s="51"/>
      <c r="BV17" s="51"/>
      <c r="BW17" s="51"/>
      <c r="BX17" s="51"/>
      <c r="BY17" s="51"/>
    </row>
    <row r="18" spans="1:77" ht="14.25" x14ac:dyDescent="0.2">
      <c r="A18" s="124" t="s">
        <v>83</v>
      </c>
      <c r="B18" s="124"/>
      <c r="C18" s="124"/>
      <c r="D18" s="60" t="s">
        <v>44</v>
      </c>
      <c r="E18" s="35"/>
      <c r="F18" s="59">
        <f>E5+E18+IF(D18="熟练",V4,0)+IF(D18="专精",V4*2,0)+IF(D18="万事通",INT(V4/2),0)</f>
        <v>-5</v>
      </c>
      <c r="G18" s="51"/>
      <c r="H18" s="52" t="s">
        <v>84</v>
      </c>
      <c r="I18" s="111" t="s">
        <v>44</v>
      </c>
      <c r="J18" s="112"/>
      <c r="K18" s="112"/>
      <c r="L18" s="113"/>
      <c r="M18" s="125"/>
      <c r="N18" s="126"/>
      <c r="O18" s="126"/>
      <c r="P18" s="127"/>
      <c r="Q18" s="128">
        <f>E7+M18+IF(I18="熟练",V4,0)+IF(I18="万事通",INT(V4/2),0)</f>
        <v>-5</v>
      </c>
      <c r="R18" s="129"/>
      <c r="S18" s="129"/>
      <c r="T18" s="129"/>
      <c r="U18" s="130"/>
      <c r="V18" s="51"/>
      <c r="W18" s="51"/>
      <c r="X18" s="51"/>
      <c r="Y18" s="51"/>
      <c r="Z18" s="51"/>
      <c r="AA18" s="51"/>
      <c r="AB18" s="51"/>
      <c r="AC18" s="51"/>
      <c r="AD18" s="131">
        <v>1</v>
      </c>
      <c r="AE18" s="131"/>
      <c r="AF18" s="131"/>
      <c r="AG18" s="131"/>
      <c r="AH18" s="131"/>
      <c r="AI18" s="131"/>
      <c r="AJ18" s="132"/>
      <c r="AK18" s="132"/>
      <c r="AL18" s="132"/>
      <c r="AM18" s="132"/>
      <c r="AN18" s="132"/>
      <c r="AO18" s="132"/>
      <c r="AP18" s="132"/>
      <c r="AQ18" s="132"/>
      <c r="AR18" s="132"/>
      <c r="AS18" s="132"/>
      <c r="AT18" s="132"/>
      <c r="AU18" s="98"/>
      <c r="AV18" s="98"/>
      <c r="AW18" s="98"/>
      <c r="AX18" s="98"/>
      <c r="AY18" s="51"/>
      <c r="AZ18" s="179"/>
      <c r="BA18" s="180"/>
      <c r="BB18" s="180"/>
      <c r="BC18" s="180"/>
      <c r="BD18" s="180"/>
      <c r="BE18" s="180"/>
      <c r="BF18" s="180"/>
      <c r="BG18" s="180"/>
      <c r="BH18" s="180"/>
      <c r="BI18" s="180"/>
      <c r="BJ18" s="181"/>
      <c r="BK18" s="51"/>
      <c r="BL18" s="51"/>
      <c r="BM18" s="51"/>
      <c r="BN18" s="51"/>
      <c r="BO18" s="51"/>
      <c r="BP18" s="51"/>
      <c r="BQ18" s="51"/>
      <c r="BR18" s="51"/>
      <c r="BS18" s="51"/>
      <c r="BT18" s="51"/>
      <c r="BU18" s="51"/>
      <c r="BV18" s="51"/>
      <c r="BW18" s="51"/>
      <c r="BX18" s="51"/>
      <c r="BY18" s="51"/>
    </row>
    <row r="19" spans="1:77" ht="14.25" x14ac:dyDescent="0.2">
      <c r="A19" s="124" t="s">
        <v>87</v>
      </c>
      <c r="B19" s="124"/>
      <c r="C19" s="124"/>
      <c r="D19" s="60" t="s">
        <v>44</v>
      </c>
      <c r="E19" s="35"/>
      <c r="F19" s="59">
        <f>E5+E19+IF(D19="熟练",V4,0)+IF(D19="专精",V4*2,0)+IF(D19="万事通",INT(V4/2),0)</f>
        <v>-5</v>
      </c>
      <c r="G19" s="51"/>
      <c r="H19" s="51" t="s">
        <v>88</v>
      </c>
      <c r="I19" s="64" t="s">
        <v>89</v>
      </c>
      <c r="J19" s="64"/>
      <c r="K19" s="64"/>
      <c r="L19" s="64"/>
      <c r="M19" s="64" t="s">
        <v>90</v>
      </c>
      <c r="N19" s="64"/>
      <c r="O19" s="64"/>
      <c r="P19" s="64"/>
      <c r="Q19" s="64" t="s">
        <v>91</v>
      </c>
      <c r="R19" s="64"/>
      <c r="S19" s="64"/>
      <c r="T19" s="64"/>
      <c r="U19" s="64"/>
      <c r="V19" s="64" t="s">
        <v>92</v>
      </c>
      <c r="W19" s="64"/>
      <c r="X19" s="64"/>
      <c r="Y19" s="64" t="s">
        <v>93</v>
      </c>
      <c r="Z19" s="64"/>
      <c r="AA19" s="64"/>
      <c r="AB19" s="51"/>
      <c r="AC19" s="51"/>
      <c r="AD19" s="131">
        <v>1</v>
      </c>
      <c r="AE19" s="131"/>
      <c r="AF19" s="131"/>
      <c r="AG19" s="131"/>
      <c r="AH19" s="131"/>
      <c r="AI19" s="131"/>
      <c r="AJ19" s="132"/>
      <c r="AK19" s="132"/>
      <c r="AL19" s="132"/>
      <c r="AM19" s="132"/>
      <c r="AN19" s="132"/>
      <c r="AO19" s="132"/>
      <c r="AP19" s="132"/>
      <c r="AQ19" s="132"/>
      <c r="AR19" s="132"/>
      <c r="AS19" s="132"/>
      <c r="AT19" s="132"/>
      <c r="AU19" s="98"/>
      <c r="AV19" s="98"/>
      <c r="AW19" s="98"/>
      <c r="AX19" s="98"/>
      <c r="AY19" s="51"/>
      <c r="AZ19" s="179"/>
      <c r="BA19" s="180"/>
      <c r="BB19" s="180"/>
      <c r="BC19" s="180"/>
      <c r="BD19" s="180"/>
      <c r="BE19" s="180"/>
      <c r="BF19" s="180"/>
      <c r="BG19" s="180"/>
      <c r="BH19" s="180"/>
      <c r="BI19" s="180"/>
      <c r="BJ19" s="181"/>
      <c r="BK19" s="51"/>
      <c r="BL19" s="51"/>
      <c r="BM19" s="51"/>
      <c r="BN19" s="51"/>
      <c r="BO19" s="51"/>
      <c r="BP19" s="51"/>
      <c r="BQ19" s="51"/>
      <c r="BR19" s="51"/>
      <c r="BS19" s="51"/>
      <c r="BT19" s="51"/>
      <c r="BU19" s="51"/>
      <c r="BV19" s="51"/>
      <c r="BW19" s="51"/>
      <c r="BX19" s="51"/>
      <c r="BY19" s="51"/>
    </row>
    <row r="20" spans="1:77" ht="14.25" x14ac:dyDescent="0.2">
      <c r="A20" s="64" t="s">
        <v>95</v>
      </c>
      <c r="B20" s="64"/>
      <c r="C20" s="64"/>
      <c r="D20" s="51" t="s">
        <v>75</v>
      </c>
      <c r="E20" s="51" t="s">
        <v>76</v>
      </c>
      <c r="F20" s="51" t="s">
        <v>77</v>
      </c>
      <c r="G20" s="51"/>
      <c r="H20" s="52" t="s">
        <v>96</v>
      </c>
      <c r="I20" s="111"/>
      <c r="J20" s="112"/>
      <c r="K20" s="112"/>
      <c r="L20" s="113"/>
      <c r="M20" s="125">
        <v>0</v>
      </c>
      <c r="N20" s="126"/>
      <c r="O20" s="126"/>
      <c r="P20" s="127"/>
      <c r="Q20" s="128">
        <f>M20+V4+IF(I20="无盔甲",8+E7,0)+IF(I20="镶钉皮甲",10+E7)+IF(I20="半身板甲",13+MIN(E7,2),0)+IF(I20="板甲",16,0)+IF(I20="法师护甲",11+E7,0)+IF(AND(I20="武僧无甲防御",I21="无盾牌"),8+E7+E13,0)+IF(I20="狂战士无甲防御",8+E7+E9,0)</f>
        <v>2</v>
      </c>
      <c r="R20" s="129"/>
      <c r="S20" s="129"/>
      <c r="T20" s="129"/>
      <c r="U20" s="130"/>
      <c r="V20" s="159"/>
      <c r="W20" s="160"/>
      <c r="X20" s="161"/>
      <c r="Y20" s="165">
        <f>Q20+Q21+V20</f>
        <v>2</v>
      </c>
      <c r="Z20" s="166"/>
      <c r="AA20" s="167"/>
      <c r="AB20" s="51"/>
      <c r="AC20" s="51"/>
      <c r="AD20" s="131">
        <v>3</v>
      </c>
      <c r="AE20" s="131"/>
      <c r="AF20" s="131"/>
      <c r="AG20" s="131"/>
      <c r="AH20" s="131"/>
      <c r="AI20" s="131"/>
      <c r="AJ20" s="132"/>
      <c r="AK20" s="132"/>
      <c r="AL20" s="132"/>
      <c r="AM20" s="132"/>
      <c r="AN20" s="132"/>
      <c r="AO20" s="132"/>
      <c r="AP20" s="132"/>
      <c r="AQ20" s="132"/>
      <c r="AR20" s="132"/>
      <c r="AS20" s="132"/>
      <c r="AT20" s="132"/>
      <c r="AU20" s="98"/>
      <c r="AV20" s="98"/>
      <c r="AW20" s="98"/>
      <c r="AX20" s="98"/>
      <c r="AY20" s="51"/>
      <c r="AZ20" s="179"/>
      <c r="BA20" s="180"/>
      <c r="BB20" s="180"/>
      <c r="BC20" s="180"/>
      <c r="BD20" s="180"/>
      <c r="BE20" s="180"/>
      <c r="BF20" s="180"/>
      <c r="BG20" s="180"/>
      <c r="BH20" s="180"/>
      <c r="BI20" s="180"/>
      <c r="BJ20" s="181"/>
      <c r="BK20" s="51"/>
      <c r="BL20" s="51"/>
      <c r="BM20" s="51"/>
      <c r="BN20" s="51"/>
      <c r="BO20" s="51"/>
      <c r="BP20" s="51"/>
      <c r="BQ20" s="51"/>
      <c r="BR20" s="51"/>
      <c r="BS20" s="51"/>
      <c r="BT20" s="51"/>
      <c r="BU20" s="51"/>
      <c r="BV20" s="51"/>
      <c r="BW20" s="51"/>
      <c r="BX20" s="51"/>
      <c r="BY20" s="51"/>
    </row>
    <row r="21" spans="1:77" ht="14.25" x14ac:dyDescent="0.2">
      <c r="A21" s="124" t="s">
        <v>99</v>
      </c>
      <c r="B21" s="124"/>
      <c r="C21" s="124"/>
      <c r="D21" s="60" t="s">
        <v>44</v>
      </c>
      <c r="E21" s="35"/>
      <c r="F21" s="59">
        <f>E7+E21+IF(D21="熟练",V4,0)+IF(D21="专精",V4*2,0)+IF(D21="万事通",INT(V4/2),0)</f>
        <v>-5</v>
      </c>
      <c r="G21" s="51"/>
      <c r="H21" s="52" t="s">
        <v>100</v>
      </c>
      <c r="I21" s="111"/>
      <c r="J21" s="112"/>
      <c r="K21" s="112"/>
      <c r="L21" s="113"/>
      <c r="M21" s="125"/>
      <c r="N21" s="126"/>
      <c r="O21" s="126"/>
      <c r="P21" s="127"/>
      <c r="Q21" s="128">
        <f>(M21*IF(I21="有盾牌",1,0)+IF(I21="有盾牌",2,0))</f>
        <v>0</v>
      </c>
      <c r="R21" s="129"/>
      <c r="S21" s="129"/>
      <c r="T21" s="129"/>
      <c r="U21" s="130"/>
      <c r="V21" s="162"/>
      <c r="W21" s="163"/>
      <c r="X21" s="164"/>
      <c r="Y21" s="168"/>
      <c r="Z21" s="169"/>
      <c r="AA21" s="170"/>
      <c r="AB21" s="51"/>
      <c r="AC21" s="51"/>
      <c r="AD21" s="131">
        <v>6</v>
      </c>
      <c r="AE21" s="131"/>
      <c r="AF21" s="131"/>
      <c r="AG21" s="131"/>
      <c r="AH21" s="131"/>
      <c r="AI21" s="131"/>
      <c r="AJ21" s="132"/>
      <c r="AK21" s="132"/>
      <c r="AL21" s="132"/>
      <c r="AM21" s="132"/>
      <c r="AN21" s="132"/>
      <c r="AO21" s="132"/>
      <c r="AP21" s="132"/>
      <c r="AQ21" s="132"/>
      <c r="AR21" s="132"/>
      <c r="AS21" s="132"/>
      <c r="AT21" s="132"/>
      <c r="AU21" s="98"/>
      <c r="AV21" s="98"/>
      <c r="AW21" s="98"/>
      <c r="AX21" s="98"/>
      <c r="AY21" s="51"/>
      <c r="AZ21" s="179"/>
      <c r="BA21" s="180"/>
      <c r="BB21" s="180"/>
      <c r="BC21" s="180"/>
      <c r="BD21" s="180"/>
      <c r="BE21" s="180"/>
      <c r="BF21" s="180"/>
      <c r="BG21" s="180"/>
      <c r="BH21" s="180"/>
      <c r="BI21" s="180"/>
      <c r="BJ21" s="181"/>
      <c r="BK21" s="51"/>
      <c r="BL21" s="51"/>
      <c r="BM21" s="51"/>
      <c r="BN21" s="51"/>
      <c r="BO21" s="51"/>
      <c r="BP21" s="51"/>
      <c r="BQ21" s="51"/>
      <c r="BR21" s="51"/>
      <c r="BS21" s="51"/>
      <c r="BT21" s="51"/>
      <c r="BU21" s="51"/>
      <c r="BV21" s="51"/>
      <c r="BW21" s="51"/>
      <c r="BX21" s="51"/>
      <c r="BY21" s="51"/>
    </row>
    <row r="22" spans="1:77" ht="14.25" x14ac:dyDescent="0.2">
      <c r="A22" s="124" t="s">
        <v>102</v>
      </c>
      <c r="B22" s="124"/>
      <c r="C22" s="124"/>
      <c r="D22" s="60" t="s">
        <v>44</v>
      </c>
      <c r="E22" s="35"/>
      <c r="F22" s="59">
        <f>E7+E22+IF(D22="熟练",V4,0)+IF(D22="专精",V4*2,0)+IF(D22="万事通",INT(V4/2),0)</f>
        <v>-5</v>
      </c>
      <c r="G22" s="51"/>
      <c r="H22" s="51" t="s">
        <v>103</v>
      </c>
      <c r="I22" s="64" t="s">
        <v>104</v>
      </c>
      <c r="J22" s="64"/>
      <c r="K22" s="64"/>
      <c r="L22" s="64"/>
      <c r="M22" s="64" t="s">
        <v>90</v>
      </c>
      <c r="N22" s="64"/>
      <c r="O22" s="64"/>
      <c r="P22" s="64"/>
      <c r="Q22" s="64" t="s">
        <v>105</v>
      </c>
      <c r="R22" s="64"/>
      <c r="S22" s="64"/>
      <c r="T22" s="64"/>
      <c r="U22" s="64"/>
      <c r="V22" s="64" t="s">
        <v>92</v>
      </c>
      <c r="W22" s="64"/>
      <c r="X22" s="64"/>
      <c r="Y22" s="64" t="s">
        <v>106</v>
      </c>
      <c r="Z22" s="64"/>
      <c r="AA22" s="64"/>
      <c r="AB22" s="51"/>
      <c r="AC22" s="51"/>
      <c r="AD22" s="131">
        <v>9</v>
      </c>
      <c r="AE22" s="131"/>
      <c r="AF22" s="131"/>
      <c r="AG22" s="131"/>
      <c r="AH22" s="131"/>
      <c r="AI22" s="131"/>
      <c r="AJ22" s="132"/>
      <c r="AK22" s="132"/>
      <c r="AL22" s="132"/>
      <c r="AM22" s="132"/>
      <c r="AN22" s="132"/>
      <c r="AO22" s="132"/>
      <c r="AP22" s="132"/>
      <c r="AQ22" s="132"/>
      <c r="AR22" s="132"/>
      <c r="AS22" s="132"/>
      <c r="AT22" s="132"/>
      <c r="AU22" s="98"/>
      <c r="AV22" s="98"/>
      <c r="AW22" s="98"/>
      <c r="AX22" s="98"/>
      <c r="AY22" s="51"/>
      <c r="AZ22" s="179"/>
      <c r="BA22" s="180"/>
      <c r="BB22" s="180"/>
      <c r="BC22" s="180"/>
      <c r="BD22" s="180"/>
      <c r="BE22" s="180"/>
      <c r="BF22" s="180"/>
      <c r="BG22" s="180"/>
      <c r="BH22" s="180"/>
      <c r="BI22" s="180"/>
      <c r="BJ22" s="181"/>
      <c r="BK22" s="51"/>
      <c r="BL22" s="51"/>
      <c r="BM22" s="51"/>
      <c r="BN22" s="51"/>
      <c r="BO22" s="51"/>
      <c r="BP22" s="51"/>
      <c r="BQ22" s="51"/>
      <c r="BR22" s="51"/>
      <c r="BS22" s="51"/>
      <c r="BT22" s="51"/>
      <c r="BU22" s="51"/>
      <c r="BV22" s="51"/>
      <c r="BW22" s="51"/>
      <c r="BX22" s="51"/>
      <c r="BY22" s="51"/>
    </row>
    <row r="23" spans="1:77" ht="14.25" x14ac:dyDescent="0.2">
      <c r="A23" s="124" t="s">
        <v>108</v>
      </c>
      <c r="B23" s="124"/>
      <c r="C23" s="124"/>
      <c r="D23" s="60" t="s">
        <v>44</v>
      </c>
      <c r="E23" s="35"/>
      <c r="F23" s="59">
        <f>E7+E23+IF(D23="熟练",V4,0)+IF(D23="专精",V4*2,0)+IF(D23="万事通",INT(V4/2),0)</f>
        <v>-5</v>
      </c>
      <c r="G23" s="51"/>
      <c r="H23" s="52" t="s">
        <v>109</v>
      </c>
      <c r="I23" s="111"/>
      <c r="J23" s="112"/>
      <c r="K23" s="112"/>
      <c r="L23" s="113"/>
      <c r="M23" s="125">
        <v>0</v>
      </c>
      <c r="N23" s="126"/>
      <c r="O23" s="126"/>
      <c r="P23" s="127"/>
      <c r="Q23" s="111" t="s">
        <v>43</v>
      </c>
      <c r="R23" s="112"/>
      <c r="S23" s="112"/>
      <c r="T23" s="112"/>
      <c r="U23" s="112"/>
      <c r="V23" s="125"/>
      <c r="W23" s="126"/>
      <c r="X23" s="126"/>
      <c r="Y23" s="128">
        <f>V4+M23+V23+IF(Q23="力量",E5,0)+IF(Q23="敏捷",E7,0)+IF(Q23="体质",E9,0)+IF(Q23="智力",E11,0)+IF(Q23="感知",E13,0)</f>
        <v>-3</v>
      </c>
      <c r="Z23" s="129"/>
      <c r="AA23" s="130"/>
      <c r="AB23" s="51"/>
      <c r="AC23" s="51"/>
      <c r="AD23" s="131">
        <v>12</v>
      </c>
      <c r="AE23" s="131"/>
      <c r="AF23" s="131"/>
      <c r="AG23" s="131"/>
      <c r="AH23" s="131"/>
      <c r="AI23" s="131"/>
      <c r="AJ23" s="132"/>
      <c r="AK23" s="132"/>
      <c r="AL23" s="132"/>
      <c r="AM23" s="132"/>
      <c r="AN23" s="132"/>
      <c r="AO23" s="132"/>
      <c r="AP23" s="132"/>
      <c r="AQ23" s="132"/>
      <c r="AR23" s="132"/>
      <c r="AS23" s="132"/>
      <c r="AT23" s="132"/>
      <c r="AU23" s="98"/>
      <c r="AV23" s="98"/>
      <c r="AW23" s="98"/>
      <c r="AX23" s="98"/>
      <c r="AY23" s="51"/>
      <c r="AZ23" s="179"/>
      <c r="BA23" s="180"/>
      <c r="BB23" s="180"/>
      <c r="BC23" s="180"/>
      <c r="BD23" s="180"/>
      <c r="BE23" s="180"/>
      <c r="BF23" s="180"/>
      <c r="BG23" s="180"/>
      <c r="BH23" s="180"/>
      <c r="BI23" s="180"/>
      <c r="BJ23" s="181"/>
      <c r="BK23" s="51"/>
      <c r="BL23" s="51"/>
      <c r="BM23" s="51"/>
      <c r="BN23" s="51"/>
      <c r="BO23" s="51"/>
      <c r="BP23" s="51"/>
      <c r="BQ23" s="51"/>
      <c r="BR23" s="51"/>
      <c r="BS23" s="51"/>
      <c r="BT23" s="51"/>
      <c r="BU23" s="51"/>
      <c r="BV23" s="51"/>
      <c r="BW23" s="51"/>
      <c r="BX23" s="51"/>
      <c r="BY23" s="51"/>
    </row>
    <row r="24" spans="1:77" ht="14.25" x14ac:dyDescent="0.2">
      <c r="A24" s="64" t="s">
        <v>111</v>
      </c>
      <c r="B24" s="64"/>
      <c r="C24" s="64"/>
      <c r="D24" s="51" t="s">
        <v>75</v>
      </c>
      <c r="E24" s="51" t="s">
        <v>76</v>
      </c>
      <c r="F24" s="51" t="s">
        <v>77</v>
      </c>
      <c r="G24" s="51"/>
      <c r="H24" s="52" t="s">
        <v>112</v>
      </c>
      <c r="I24" s="111"/>
      <c r="J24" s="112"/>
      <c r="K24" s="112"/>
      <c r="L24" s="113"/>
      <c r="M24" s="125">
        <v>0</v>
      </c>
      <c r="N24" s="126"/>
      <c r="O24" s="126"/>
      <c r="P24" s="127"/>
      <c r="Q24" s="111" t="s">
        <v>50</v>
      </c>
      <c r="R24" s="112"/>
      <c r="S24" s="112"/>
      <c r="T24" s="112"/>
      <c r="U24" s="112"/>
      <c r="V24" s="125"/>
      <c r="W24" s="126"/>
      <c r="X24" s="126"/>
      <c r="Y24" s="128">
        <f>V4+M24+V24+IF(Q24="力量",E5,0)+IF(Q24="敏捷",E7,0)+IF(Q24="体质",E9,0)+IF(Q24="智力",E11,0)+IF(Q24="感知",E13,0)</f>
        <v>-3</v>
      </c>
      <c r="Z24" s="129"/>
      <c r="AA24" s="130"/>
      <c r="AB24" s="51"/>
      <c r="AC24" s="51"/>
      <c r="AD24" s="131">
        <v>15</v>
      </c>
      <c r="AE24" s="131"/>
      <c r="AF24" s="131"/>
      <c r="AG24" s="131"/>
      <c r="AH24" s="131"/>
      <c r="AI24" s="131"/>
      <c r="AJ24" s="132"/>
      <c r="AK24" s="132"/>
      <c r="AL24" s="132"/>
      <c r="AM24" s="132"/>
      <c r="AN24" s="132"/>
      <c r="AO24" s="132"/>
      <c r="AP24" s="132"/>
      <c r="AQ24" s="132"/>
      <c r="AR24" s="132"/>
      <c r="AS24" s="132"/>
      <c r="AT24" s="132"/>
      <c r="AU24" s="98"/>
      <c r="AV24" s="98"/>
      <c r="AW24" s="98"/>
      <c r="AX24" s="98"/>
      <c r="AY24" s="51"/>
      <c r="AZ24" s="179"/>
      <c r="BA24" s="180"/>
      <c r="BB24" s="180"/>
      <c r="BC24" s="180"/>
      <c r="BD24" s="180"/>
      <c r="BE24" s="180"/>
      <c r="BF24" s="180"/>
      <c r="BG24" s="180"/>
      <c r="BH24" s="180"/>
      <c r="BI24" s="180"/>
      <c r="BJ24" s="181"/>
      <c r="BK24" s="51"/>
      <c r="BL24" s="51"/>
      <c r="BM24" s="51"/>
      <c r="BN24" s="51"/>
      <c r="BO24" s="51"/>
      <c r="BP24" s="51"/>
      <c r="BQ24" s="51"/>
      <c r="BR24" s="51"/>
      <c r="BS24" s="51"/>
      <c r="BT24" s="51"/>
      <c r="BU24" s="51"/>
      <c r="BV24" s="51"/>
      <c r="BW24" s="51"/>
      <c r="BX24" s="51"/>
      <c r="BY24" s="51"/>
    </row>
    <row r="25" spans="1:77" ht="14.25" x14ac:dyDescent="0.2">
      <c r="A25" s="124" t="s">
        <v>115</v>
      </c>
      <c r="B25" s="124"/>
      <c r="C25" s="124"/>
      <c r="D25" s="60" t="s">
        <v>44</v>
      </c>
      <c r="E25" s="35"/>
      <c r="F25" s="59">
        <f>E11+E25+IF(D25="熟练",V4,0)+IF(D25="专精",V4*2,0)+IF(D25="万事通",INT(V4/2),0)</f>
        <v>-5</v>
      </c>
      <c r="G25" s="51"/>
      <c r="H25" s="52" t="s">
        <v>116</v>
      </c>
      <c r="I25" s="111"/>
      <c r="J25" s="112"/>
      <c r="K25" s="112"/>
      <c r="L25" s="113"/>
      <c r="M25" s="125">
        <v>0</v>
      </c>
      <c r="N25" s="126"/>
      <c r="O25" s="126"/>
      <c r="P25" s="127"/>
      <c r="Q25" s="111" t="s">
        <v>67</v>
      </c>
      <c r="R25" s="112"/>
      <c r="S25" s="112"/>
      <c r="T25" s="112"/>
      <c r="U25" s="112"/>
      <c r="V25" s="125"/>
      <c r="W25" s="126"/>
      <c r="X25" s="126"/>
      <c r="Y25" s="128">
        <f>V4+M25+V25+IF(Q25="力量",E5,0)+IF(Q25="敏捷",E7,0)+IF(Q25="体质",E9,0)+IF(Q25="智力",E11,0)+IF(Q25="感知",E13,0)</f>
        <v>-3</v>
      </c>
      <c r="Z25" s="129"/>
      <c r="AA25" s="130"/>
      <c r="AB25" s="51"/>
      <c r="AC25" s="51"/>
      <c r="AD25" s="131">
        <v>18</v>
      </c>
      <c r="AE25" s="131"/>
      <c r="AF25" s="131"/>
      <c r="AG25" s="131"/>
      <c r="AH25" s="131"/>
      <c r="AI25" s="131"/>
      <c r="AJ25" s="132"/>
      <c r="AK25" s="132"/>
      <c r="AL25" s="132"/>
      <c r="AM25" s="132"/>
      <c r="AN25" s="132"/>
      <c r="AO25" s="132"/>
      <c r="AP25" s="132"/>
      <c r="AQ25" s="132"/>
      <c r="AR25" s="132"/>
      <c r="AS25" s="132"/>
      <c r="AT25" s="132"/>
      <c r="AU25" s="98"/>
      <c r="AV25" s="98"/>
      <c r="AW25" s="98"/>
      <c r="AX25" s="98"/>
      <c r="AY25" s="51"/>
      <c r="AZ25" s="179"/>
      <c r="BA25" s="180"/>
      <c r="BB25" s="180"/>
      <c r="BC25" s="180"/>
      <c r="BD25" s="180"/>
      <c r="BE25" s="180"/>
      <c r="BF25" s="180"/>
      <c r="BG25" s="180"/>
      <c r="BH25" s="180"/>
      <c r="BI25" s="180"/>
      <c r="BJ25" s="181"/>
      <c r="BK25" s="51"/>
      <c r="BL25" s="51"/>
      <c r="BM25" s="51"/>
      <c r="BN25" s="51"/>
      <c r="BO25" s="51"/>
      <c r="BP25" s="51"/>
      <c r="BQ25" s="51"/>
      <c r="BR25" s="51"/>
      <c r="BS25" s="51"/>
      <c r="BT25" s="51"/>
      <c r="BU25" s="51"/>
      <c r="BV25" s="51"/>
      <c r="BW25" s="51"/>
      <c r="BX25" s="51"/>
      <c r="BY25" s="51"/>
    </row>
    <row r="26" spans="1:77" ht="14.25" x14ac:dyDescent="0.2">
      <c r="A26" s="124" t="s">
        <v>119</v>
      </c>
      <c r="B26" s="124"/>
      <c r="C26" s="124"/>
      <c r="D26" s="60" t="s">
        <v>44</v>
      </c>
      <c r="E26" s="35"/>
      <c r="F26" s="59">
        <f>E11+E26+IF(D26="熟练",V4,0)+IF(D26="专精",V4*2,0)+IF(D26="万事通",INT(V4/2),0)</f>
        <v>-5</v>
      </c>
      <c r="G26" s="51"/>
      <c r="H26" s="51" t="s">
        <v>120</v>
      </c>
      <c r="I26" s="64" t="s">
        <v>121</v>
      </c>
      <c r="J26" s="64"/>
      <c r="K26" s="64"/>
      <c r="L26" s="64"/>
      <c r="M26" s="64" t="s">
        <v>90</v>
      </c>
      <c r="N26" s="64"/>
      <c r="O26" s="64"/>
      <c r="P26" s="64"/>
      <c r="Q26" s="64" t="s">
        <v>105</v>
      </c>
      <c r="R26" s="64"/>
      <c r="S26" s="64"/>
      <c r="T26" s="64"/>
      <c r="U26" s="64"/>
      <c r="V26" s="64" t="s">
        <v>92</v>
      </c>
      <c r="W26" s="64"/>
      <c r="X26" s="64"/>
      <c r="Y26" s="64" t="s">
        <v>122</v>
      </c>
      <c r="Z26" s="64"/>
      <c r="AA26" s="64"/>
      <c r="AB26" s="51"/>
      <c r="AC26" s="51"/>
      <c r="AD26" s="131"/>
      <c r="AE26" s="131"/>
      <c r="AF26" s="131"/>
      <c r="AG26" s="131"/>
      <c r="AH26" s="131"/>
      <c r="AI26" s="131"/>
      <c r="AJ26" s="132"/>
      <c r="AK26" s="132"/>
      <c r="AL26" s="132"/>
      <c r="AM26" s="132"/>
      <c r="AN26" s="132"/>
      <c r="AO26" s="132"/>
      <c r="AP26" s="132"/>
      <c r="AQ26" s="132"/>
      <c r="AR26" s="132"/>
      <c r="AS26" s="132"/>
      <c r="AT26" s="132"/>
      <c r="AU26" s="98"/>
      <c r="AV26" s="98"/>
      <c r="AW26" s="98"/>
      <c r="AX26" s="98"/>
      <c r="AY26" s="51"/>
      <c r="AZ26" s="179"/>
      <c r="BA26" s="180"/>
      <c r="BB26" s="180"/>
      <c r="BC26" s="180"/>
      <c r="BD26" s="180"/>
      <c r="BE26" s="180"/>
      <c r="BF26" s="180"/>
      <c r="BG26" s="180"/>
      <c r="BH26" s="180"/>
      <c r="BI26" s="180"/>
      <c r="BJ26" s="181"/>
      <c r="BK26" s="51"/>
      <c r="BL26" s="51"/>
      <c r="BM26" s="51"/>
      <c r="BN26" s="51"/>
      <c r="BO26" s="51"/>
      <c r="BP26" s="51"/>
      <c r="BQ26" s="51"/>
      <c r="BR26" s="51"/>
      <c r="BS26" s="51"/>
      <c r="BT26" s="51"/>
      <c r="BU26" s="51"/>
      <c r="BV26" s="51"/>
      <c r="BW26" s="51"/>
      <c r="BX26" s="51"/>
      <c r="BY26" s="51"/>
    </row>
    <row r="27" spans="1:77" ht="14.25" x14ac:dyDescent="0.2">
      <c r="A27" s="124" t="s">
        <v>123</v>
      </c>
      <c r="B27" s="124"/>
      <c r="C27" s="124"/>
      <c r="D27" s="60" t="s">
        <v>44</v>
      </c>
      <c r="E27" s="35"/>
      <c r="F27" s="59">
        <f>E11+E27+IF(D27="熟练",V4,0)+IF(D27="专精",V4*2,0)+IF(D27="万事通",INT(V4/2),0)</f>
        <v>-5</v>
      </c>
      <c r="G27" s="51"/>
      <c r="H27" s="29" t="s">
        <v>124</v>
      </c>
      <c r="I27" s="133"/>
      <c r="J27" s="134"/>
      <c r="K27" s="134"/>
      <c r="L27" s="135"/>
      <c r="M27" s="125">
        <v>0</v>
      </c>
      <c r="N27" s="126"/>
      <c r="O27" s="126"/>
      <c r="P27" s="127"/>
      <c r="Q27" s="111" t="s">
        <v>67</v>
      </c>
      <c r="R27" s="112"/>
      <c r="S27" s="112"/>
      <c r="T27" s="112"/>
      <c r="U27" s="112"/>
      <c r="V27" s="125"/>
      <c r="W27" s="126"/>
      <c r="X27" s="126"/>
      <c r="Y27" s="128">
        <f>8+V4+M27+V27+IF(Q27="力量",E5,0)+IF(Q27="敏捷",E7,0)+IF(Q27="体质",E9,0)+IF(Q27="智力",E11,0)+IF(Q27="感知",E13,0)</f>
        <v>5</v>
      </c>
      <c r="Z27" s="129"/>
      <c r="AA27" s="130"/>
      <c r="AB27" s="51"/>
      <c r="AC27" s="51"/>
      <c r="AD27" s="131"/>
      <c r="AE27" s="131"/>
      <c r="AF27" s="131"/>
      <c r="AG27" s="131"/>
      <c r="AH27" s="131"/>
      <c r="AI27" s="131"/>
      <c r="AJ27" s="132"/>
      <c r="AK27" s="132"/>
      <c r="AL27" s="132"/>
      <c r="AM27" s="132"/>
      <c r="AN27" s="132"/>
      <c r="AO27" s="132"/>
      <c r="AP27" s="132"/>
      <c r="AQ27" s="132"/>
      <c r="AR27" s="132"/>
      <c r="AS27" s="132"/>
      <c r="AT27" s="132"/>
      <c r="AU27" s="98"/>
      <c r="AV27" s="98"/>
      <c r="AW27" s="98"/>
      <c r="AX27" s="98"/>
      <c r="AY27" s="51"/>
      <c r="AZ27" s="162"/>
      <c r="BA27" s="163"/>
      <c r="BB27" s="163"/>
      <c r="BC27" s="163"/>
      <c r="BD27" s="163"/>
      <c r="BE27" s="163"/>
      <c r="BF27" s="163"/>
      <c r="BG27" s="163"/>
      <c r="BH27" s="163"/>
      <c r="BI27" s="163"/>
      <c r="BJ27" s="164"/>
      <c r="BK27" s="51"/>
      <c r="BL27" s="51"/>
      <c r="BM27" s="51"/>
      <c r="BN27" s="51"/>
      <c r="BO27" s="51"/>
      <c r="BP27" s="51"/>
      <c r="BQ27" s="51"/>
      <c r="BR27" s="51"/>
      <c r="BS27" s="51"/>
      <c r="BT27" s="51"/>
      <c r="BU27" s="51"/>
      <c r="BV27" s="51"/>
      <c r="BW27" s="51"/>
      <c r="BX27" s="51"/>
      <c r="BY27" s="51"/>
    </row>
    <row r="28" spans="1:77" ht="14.25" x14ac:dyDescent="0.2">
      <c r="A28" s="124" t="s">
        <v>125</v>
      </c>
      <c r="B28" s="124"/>
      <c r="C28" s="124"/>
      <c r="D28" s="60" t="s">
        <v>44</v>
      </c>
      <c r="E28" s="35"/>
      <c r="F28" s="59">
        <f>E11+E28+IF(D28="熟练",V4,0)+IF(D28="专精",V4*2,0)+IF(D28="万事通",INT(V4/2),0)</f>
        <v>-5</v>
      </c>
      <c r="G28" s="51"/>
      <c r="H28" s="29" t="s">
        <v>126</v>
      </c>
      <c r="I28" s="136"/>
      <c r="J28" s="102"/>
      <c r="K28" s="102"/>
      <c r="L28" s="103"/>
      <c r="M28" s="125">
        <v>0</v>
      </c>
      <c r="N28" s="126"/>
      <c r="O28" s="126"/>
      <c r="P28" s="127"/>
      <c r="Q28" s="111" t="s">
        <v>43</v>
      </c>
      <c r="R28" s="112"/>
      <c r="S28" s="112"/>
      <c r="T28" s="112"/>
      <c r="U28" s="112"/>
      <c r="V28" s="125"/>
      <c r="W28" s="126"/>
      <c r="X28" s="126"/>
      <c r="Y28" s="128">
        <f>8+V4+M28+V28+IF(Q28="力量",E5,0)+IF(Q28="敏捷",E7,0)+IF(Q28="体质",E9,0)+IF(Q28="智力",E11,0)+IF(Q28="感知",E13,0)</f>
        <v>5</v>
      </c>
      <c r="Z28" s="129"/>
      <c r="AA28" s="130"/>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row>
    <row r="29" spans="1:77" ht="17.25" x14ac:dyDescent="0.2">
      <c r="A29" s="124" t="s">
        <v>128</v>
      </c>
      <c r="B29" s="124"/>
      <c r="C29" s="124"/>
      <c r="D29" s="60" t="s">
        <v>44</v>
      </c>
      <c r="E29" s="35"/>
      <c r="F29" s="59">
        <f>E11+E29+IF(D29="熟练",V4,0)+IF(D29="专精",V4*2,0)+IF(D29="万事通",INT(V4/2),0)</f>
        <v>-5</v>
      </c>
      <c r="G29" s="51"/>
      <c r="H29" s="51" t="s">
        <v>129</v>
      </c>
      <c r="I29" s="64" t="s">
        <v>130</v>
      </c>
      <c r="J29" s="64"/>
      <c r="K29" s="64"/>
      <c r="L29" s="64"/>
      <c r="M29" s="64" t="s">
        <v>131</v>
      </c>
      <c r="N29" s="64"/>
      <c r="O29" s="64"/>
      <c r="P29" s="64"/>
      <c r="Q29" s="64" t="s">
        <v>92</v>
      </c>
      <c r="R29" s="64"/>
      <c r="S29" s="64"/>
      <c r="T29" s="64"/>
      <c r="U29" s="64"/>
      <c r="V29" s="64" t="s">
        <v>132</v>
      </c>
      <c r="W29" s="64"/>
      <c r="X29" s="64"/>
      <c r="Y29" s="51"/>
      <c r="Z29" s="51"/>
      <c r="AA29" s="51"/>
      <c r="AB29" s="51"/>
      <c r="AC29" s="51"/>
      <c r="AD29" s="92" t="s">
        <v>133</v>
      </c>
      <c r="AE29" s="92"/>
      <c r="AF29" s="92"/>
      <c r="AG29" s="92"/>
      <c r="AH29" s="92"/>
      <c r="AI29" s="92"/>
      <c r="AJ29" s="92"/>
      <c r="AK29" s="92"/>
      <c r="AL29" s="92"/>
      <c r="AM29" s="92"/>
      <c r="AN29" s="92"/>
      <c r="AO29" s="92"/>
      <c r="AP29" s="92"/>
      <c r="AQ29" s="92"/>
      <c r="AR29" s="92"/>
      <c r="AS29" s="92"/>
      <c r="AT29" s="92"/>
      <c r="AU29" s="92"/>
      <c r="AV29" s="92"/>
      <c r="AW29" s="92"/>
      <c r="AX29" s="92"/>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row>
    <row r="30" spans="1:77" ht="14.25" x14ac:dyDescent="0.2">
      <c r="A30" s="124" t="s">
        <v>134</v>
      </c>
      <c r="B30" s="124"/>
      <c r="C30" s="124"/>
      <c r="D30" s="60" t="s">
        <v>44</v>
      </c>
      <c r="E30" s="35"/>
      <c r="F30" s="59">
        <f>E11+E30+IF(D30="熟练",V4,0)+IF(D30="专精",V4*2,0)+IF(D30="万事通",INT(V4/2),0)</f>
        <v>-5</v>
      </c>
      <c r="G30" s="51"/>
      <c r="H30" s="29" t="s">
        <v>135</v>
      </c>
      <c r="I30" s="136">
        <v>30</v>
      </c>
      <c r="J30" s="102"/>
      <c r="K30" s="102"/>
      <c r="L30" s="103"/>
      <c r="M30" s="128">
        <f>5*E5</f>
        <v>-25</v>
      </c>
      <c r="N30" s="129"/>
      <c r="O30" s="129"/>
      <c r="P30" s="130"/>
      <c r="Q30" s="125"/>
      <c r="R30" s="126"/>
      <c r="S30" s="126"/>
      <c r="T30" s="118"/>
      <c r="U30" s="119"/>
      <c r="V30" s="128">
        <f>SUM(I30:U30)</f>
        <v>5</v>
      </c>
      <c r="W30" s="129"/>
      <c r="X30" s="130"/>
      <c r="Y30" s="51" t="s">
        <v>136</v>
      </c>
      <c r="Z30" s="51"/>
      <c r="AA30" s="51"/>
      <c r="AB30" s="51"/>
      <c r="AC30" s="51"/>
      <c r="AD30" s="95" t="s">
        <v>137</v>
      </c>
      <c r="AE30" s="96"/>
      <c r="AF30" s="96"/>
      <c r="AG30" s="97"/>
      <c r="AH30" s="131" t="s">
        <v>2878</v>
      </c>
      <c r="AI30" s="131"/>
      <c r="AJ30" s="131"/>
      <c r="AK30" s="131"/>
      <c r="AL30" s="131"/>
      <c r="AM30" s="131"/>
      <c r="AN30" s="131"/>
      <c r="AO30" s="131"/>
      <c r="AP30" s="131"/>
      <c r="AQ30" s="131"/>
      <c r="AR30" s="131"/>
      <c r="AS30" s="131"/>
      <c r="AT30" s="131"/>
      <c r="AU30" s="131"/>
      <c r="AV30" s="131"/>
      <c r="AW30" s="131"/>
      <c r="AX30" s="13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row>
    <row r="31" spans="1:77" ht="14.25" x14ac:dyDescent="0.2">
      <c r="A31" s="124" t="s">
        <v>138</v>
      </c>
      <c r="B31" s="124"/>
      <c r="C31" s="124"/>
      <c r="D31" s="60" t="s">
        <v>44</v>
      </c>
      <c r="E31" s="35"/>
      <c r="F31" s="59">
        <f>E11+E31+IF(D31="熟练",V4,0)+IF(D31="专精",V4*2,0)+IF(D31="万事通",INT(V4/2),0)</f>
        <v>-5</v>
      </c>
      <c r="G31" s="51"/>
      <c r="H31" s="29" t="s">
        <v>139</v>
      </c>
      <c r="I31" s="99" t="s">
        <v>140</v>
      </c>
      <c r="J31" s="100"/>
      <c r="K31" s="100"/>
      <c r="L31" s="100"/>
      <c r="M31" s="100"/>
      <c r="N31" s="100"/>
      <c r="O31" s="100"/>
      <c r="P31" s="100"/>
      <c r="Q31" s="100"/>
      <c r="R31" s="100"/>
      <c r="S31" s="100"/>
      <c r="T31" s="100"/>
      <c r="U31" s="100"/>
      <c r="V31" s="100"/>
      <c r="W31" s="100"/>
      <c r="X31" s="101"/>
      <c r="Y31" s="51" t="s">
        <v>136</v>
      </c>
      <c r="Z31" s="51"/>
      <c r="AA31" s="51"/>
      <c r="AB31" s="51"/>
      <c r="AC31" s="51"/>
      <c r="AD31" s="95" t="s">
        <v>141</v>
      </c>
      <c r="AE31" s="96"/>
      <c r="AF31" s="96"/>
      <c r="AG31" s="97"/>
      <c r="AH31" s="131" t="s">
        <v>44</v>
      </c>
      <c r="AI31" s="131"/>
      <c r="AJ31" s="131"/>
      <c r="AK31" s="131"/>
      <c r="AL31" s="131"/>
      <c r="AM31" s="131"/>
      <c r="AN31" s="131"/>
      <c r="AO31" s="131"/>
      <c r="AP31" s="131"/>
      <c r="AQ31" s="131"/>
      <c r="AR31" s="131"/>
      <c r="AS31" s="131"/>
      <c r="AT31" s="131"/>
      <c r="AU31" s="131"/>
      <c r="AV31" s="131"/>
      <c r="AW31" s="131"/>
      <c r="AX31" s="13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row>
    <row r="32" spans="1:77" ht="14.25" x14ac:dyDescent="0.2">
      <c r="A32" s="64" t="s">
        <v>142</v>
      </c>
      <c r="B32" s="64"/>
      <c r="C32" s="64"/>
      <c r="D32" s="51" t="s">
        <v>75</v>
      </c>
      <c r="E32" s="51" t="s">
        <v>76</v>
      </c>
      <c r="F32" s="51" t="s">
        <v>77</v>
      </c>
      <c r="G32" s="51"/>
      <c r="H32" s="51" t="s">
        <v>143</v>
      </c>
      <c r="I32" s="51"/>
      <c r="J32" s="51"/>
      <c r="K32" s="51"/>
      <c r="L32" s="51"/>
      <c r="M32" s="51"/>
      <c r="N32" s="51"/>
      <c r="O32" s="51"/>
      <c r="P32" s="51"/>
      <c r="Q32" s="51"/>
      <c r="R32" s="51"/>
      <c r="S32" s="51"/>
      <c r="T32" s="51"/>
      <c r="U32" s="51"/>
      <c r="V32" s="51"/>
      <c r="W32" s="51"/>
      <c r="X32" s="51"/>
      <c r="Y32" s="51"/>
      <c r="Z32" s="51"/>
      <c r="AA32" s="51"/>
      <c r="AB32" s="51"/>
      <c r="AC32" s="51"/>
      <c r="AD32" s="95" t="s">
        <v>88</v>
      </c>
      <c r="AE32" s="96"/>
      <c r="AF32" s="96"/>
      <c r="AG32" s="97"/>
      <c r="AH32" s="131" t="s">
        <v>44</v>
      </c>
      <c r="AI32" s="131"/>
      <c r="AJ32" s="131"/>
      <c r="AK32" s="131"/>
      <c r="AL32" s="131"/>
      <c r="AM32" s="131"/>
      <c r="AN32" s="131"/>
      <c r="AO32" s="131"/>
      <c r="AP32" s="131"/>
      <c r="AQ32" s="131"/>
      <c r="AR32" s="131"/>
      <c r="AS32" s="131"/>
      <c r="AT32" s="131"/>
      <c r="AU32" s="131"/>
      <c r="AV32" s="131"/>
      <c r="AW32" s="131"/>
      <c r="AX32" s="13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row>
    <row r="33" spans="1:77" ht="14.25" x14ac:dyDescent="0.2">
      <c r="A33" s="124" t="s">
        <v>144</v>
      </c>
      <c r="B33" s="124"/>
      <c r="C33" s="124"/>
      <c r="D33" s="60" t="s">
        <v>44</v>
      </c>
      <c r="E33" s="35"/>
      <c r="F33" s="59">
        <f>E13+E33+IF(D33="熟练",V4,0)+IF(D33="专精",V4*2,0)+IF(D33="万事通",INT(V4/2),0)</f>
        <v>-5</v>
      </c>
      <c r="G33" s="51"/>
      <c r="H33" s="29" t="s">
        <v>145</v>
      </c>
      <c r="I33" s="94"/>
      <c r="J33" s="94"/>
      <c r="K33" s="94"/>
      <c r="L33" s="94"/>
      <c r="M33" s="94"/>
      <c r="N33" s="94"/>
      <c r="O33" s="94"/>
      <c r="P33" s="94"/>
      <c r="Q33" s="94"/>
      <c r="R33" s="94"/>
      <c r="S33" s="94"/>
      <c r="T33" s="94"/>
      <c r="U33" s="94"/>
      <c r="V33" s="94"/>
      <c r="W33" s="94"/>
      <c r="X33" s="94"/>
      <c r="Y33" s="94"/>
      <c r="Z33" s="94"/>
      <c r="AA33" s="94"/>
      <c r="AB33" s="51"/>
      <c r="AC33" s="51"/>
      <c r="AD33" s="95" t="s">
        <v>146</v>
      </c>
      <c r="AE33" s="96"/>
      <c r="AF33" s="96"/>
      <c r="AG33" s="97"/>
      <c r="AH33" s="131" t="s">
        <v>44</v>
      </c>
      <c r="AI33" s="131"/>
      <c r="AJ33" s="131"/>
      <c r="AK33" s="131"/>
      <c r="AL33" s="131"/>
      <c r="AM33" s="131"/>
      <c r="AN33" s="131"/>
      <c r="AO33" s="131"/>
      <c r="AP33" s="131"/>
      <c r="AQ33" s="131"/>
      <c r="AR33" s="131"/>
      <c r="AS33" s="131"/>
      <c r="AT33" s="131"/>
      <c r="AU33" s="131"/>
      <c r="AV33" s="131"/>
      <c r="AW33" s="131"/>
      <c r="AX33" s="13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row>
    <row r="34" spans="1:77" ht="14.25" x14ac:dyDescent="0.2">
      <c r="A34" s="124" t="s">
        <v>147</v>
      </c>
      <c r="B34" s="124"/>
      <c r="C34" s="124"/>
      <c r="D34" s="60" t="s">
        <v>44</v>
      </c>
      <c r="E34" s="35"/>
      <c r="F34" s="59">
        <f>E13+E34+IF(D34="熟练",V4,0)+IF(D34="专精",V4*2,0)+IF(D34="万事通",INT(V4/2),0)</f>
        <v>-5</v>
      </c>
      <c r="G34" s="51"/>
      <c r="H34" s="29" t="s">
        <v>148</v>
      </c>
      <c r="I34" s="94"/>
      <c r="J34" s="94"/>
      <c r="K34" s="94"/>
      <c r="L34" s="94"/>
      <c r="M34" s="94"/>
      <c r="N34" s="94"/>
      <c r="O34" s="94"/>
      <c r="P34" s="94"/>
      <c r="Q34" s="94"/>
      <c r="R34" s="94"/>
      <c r="S34" s="94"/>
      <c r="T34" s="94"/>
      <c r="U34" s="94"/>
      <c r="V34" s="94"/>
      <c r="W34" s="94"/>
      <c r="X34" s="94"/>
      <c r="Y34" s="94"/>
      <c r="Z34" s="94"/>
      <c r="AA34" s="94"/>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row>
    <row r="35" spans="1:77" ht="17.25" x14ac:dyDescent="0.2">
      <c r="A35" s="124" t="s">
        <v>149</v>
      </c>
      <c r="B35" s="124"/>
      <c r="C35" s="124"/>
      <c r="D35" s="60" t="s">
        <v>44</v>
      </c>
      <c r="E35" s="35"/>
      <c r="F35" s="59">
        <f>E13+E35+IF(D35="熟练",V4,0)+IF(D35="专精",V4*2,0)+IF(D35="万事通",INT(V4/2),0)</f>
        <v>-5</v>
      </c>
      <c r="G35" s="51"/>
      <c r="H35" s="29" t="s">
        <v>150</v>
      </c>
      <c r="I35" s="94"/>
      <c r="J35" s="94"/>
      <c r="K35" s="94"/>
      <c r="L35" s="94"/>
      <c r="M35" s="94"/>
      <c r="N35" s="94"/>
      <c r="O35" s="94"/>
      <c r="P35" s="94"/>
      <c r="Q35" s="94"/>
      <c r="R35" s="94"/>
      <c r="S35" s="94"/>
      <c r="T35" s="94"/>
      <c r="U35" s="94"/>
      <c r="V35" s="94"/>
      <c r="W35" s="94"/>
      <c r="X35" s="94"/>
      <c r="Y35" s="94"/>
      <c r="Z35" s="94"/>
      <c r="AA35" s="94"/>
      <c r="AB35" s="51"/>
      <c r="AC35" s="51"/>
      <c r="AD35" s="92" t="s">
        <v>151</v>
      </c>
      <c r="AE35" s="92"/>
      <c r="AF35" s="92"/>
      <c r="AG35" s="92"/>
      <c r="AH35" s="92"/>
      <c r="AI35" s="92"/>
      <c r="AJ35" s="92"/>
      <c r="AK35" s="92"/>
      <c r="AL35" s="92"/>
      <c r="AM35" s="92"/>
      <c r="AN35" s="92"/>
      <c r="AO35" s="92"/>
      <c r="AP35" s="92"/>
      <c r="AQ35" s="92"/>
      <c r="AR35" s="92"/>
      <c r="AS35" s="92"/>
      <c r="AT35" s="92"/>
      <c r="AU35" s="92"/>
      <c r="AV35" s="92"/>
      <c r="AW35" s="92"/>
      <c r="AX35" s="92"/>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row>
    <row r="36" spans="1:77" ht="14.25" x14ac:dyDescent="0.2">
      <c r="A36" s="124" t="s">
        <v>152</v>
      </c>
      <c r="B36" s="124"/>
      <c r="C36" s="124"/>
      <c r="D36" s="60" t="s">
        <v>44</v>
      </c>
      <c r="E36" s="35"/>
      <c r="F36" s="59">
        <f>E13+E36+IF(D36="熟练",V4,0)+IF(D36="专精",V4*2,0)+IF(D36="万事通",INT(V4/2),0)</f>
        <v>-5</v>
      </c>
      <c r="G36" s="51"/>
      <c r="H36" s="29" t="s">
        <v>153</v>
      </c>
      <c r="I36" s="94"/>
      <c r="J36" s="94"/>
      <c r="K36" s="94"/>
      <c r="L36" s="94"/>
      <c r="M36" s="94"/>
      <c r="N36" s="94"/>
      <c r="O36" s="94"/>
      <c r="P36" s="94"/>
      <c r="Q36" s="94"/>
      <c r="R36" s="94"/>
      <c r="S36" s="94"/>
      <c r="T36" s="94"/>
      <c r="U36" s="94"/>
      <c r="V36" s="94"/>
      <c r="W36" s="94"/>
      <c r="X36" s="94"/>
      <c r="Y36" s="94"/>
      <c r="Z36" s="94"/>
      <c r="AA36" s="94"/>
      <c r="AB36" s="51"/>
      <c r="AC36" s="51"/>
      <c r="AD36" s="95" t="s">
        <v>154</v>
      </c>
      <c r="AE36" s="96"/>
      <c r="AF36" s="96"/>
      <c r="AG36" s="97"/>
      <c r="AH36" s="98"/>
      <c r="AI36" s="98"/>
      <c r="AJ36" s="98"/>
      <c r="AK36" s="98"/>
      <c r="AL36" s="98"/>
      <c r="AM36" s="98"/>
      <c r="AN36" s="98"/>
      <c r="AO36" s="98"/>
      <c r="AP36" s="98"/>
      <c r="AQ36" s="98"/>
      <c r="AR36" s="98"/>
      <c r="AS36" s="98"/>
      <c r="AT36" s="98"/>
      <c r="AU36" s="98"/>
      <c r="AV36" s="98"/>
      <c r="AW36" s="98"/>
      <c r="AX36" s="98"/>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row>
    <row r="37" spans="1:77" ht="14.25" x14ac:dyDescent="0.2">
      <c r="A37" s="124" t="s">
        <v>155</v>
      </c>
      <c r="B37" s="124"/>
      <c r="C37" s="124"/>
      <c r="D37" s="60" t="s">
        <v>44</v>
      </c>
      <c r="E37" s="35"/>
      <c r="F37" s="59">
        <f>E13+E37+IF(D37="熟练",V4,0)+IF(D37="专精",V4*2,0)+IF(D37="万事通",INT(V4/2),0)</f>
        <v>-5</v>
      </c>
      <c r="G37" s="51"/>
      <c r="H37" s="51" t="s">
        <v>156</v>
      </c>
      <c r="I37" s="51"/>
      <c r="J37" s="51"/>
      <c r="K37" s="51"/>
      <c r="L37" s="51"/>
      <c r="M37" s="51"/>
      <c r="N37" s="51"/>
      <c r="O37" s="51"/>
      <c r="P37" s="51"/>
      <c r="Q37" s="51"/>
      <c r="R37" s="51"/>
      <c r="S37" s="51"/>
      <c r="T37" s="51"/>
      <c r="U37" s="51"/>
      <c r="V37" s="51"/>
      <c r="W37" s="51"/>
      <c r="X37" s="51"/>
      <c r="Y37" s="51"/>
      <c r="Z37" s="51"/>
      <c r="AA37" s="51"/>
      <c r="AB37" s="51"/>
      <c r="AC37" s="51"/>
      <c r="AD37" s="95" t="s">
        <v>84</v>
      </c>
      <c r="AE37" s="96"/>
      <c r="AF37" s="96"/>
      <c r="AG37" s="97"/>
      <c r="AH37" s="98"/>
      <c r="AI37" s="98"/>
      <c r="AJ37" s="98"/>
      <c r="AK37" s="98"/>
      <c r="AL37" s="98"/>
      <c r="AM37" s="98"/>
      <c r="AN37" s="98"/>
      <c r="AO37" s="98"/>
      <c r="AP37" s="98"/>
      <c r="AQ37" s="98"/>
      <c r="AR37" s="98"/>
      <c r="AS37" s="98"/>
      <c r="AT37" s="98"/>
      <c r="AU37" s="98"/>
      <c r="AV37" s="98"/>
      <c r="AW37" s="98"/>
      <c r="AX37" s="98"/>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row>
    <row r="38" spans="1:77" ht="14.25" x14ac:dyDescent="0.2">
      <c r="A38" s="124" t="s">
        <v>157</v>
      </c>
      <c r="B38" s="124"/>
      <c r="C38" s="124"/>
      <c r="D38" s="60" t="s">
        <v>44</v>
      </c>
      <c r="E38" s="35"/>
      <c r="F38" s="59">
        <f>E13+E38+IF(D38="熟练",V4,0)+IF(D38="专精",V4*2,0)+IF(D38="万事通",INT(V4/2),0)</f>
        <v>-5</v>
      </c>
      <c r="G38" s="51"/>
      <c r="H38" s="29" t="s">
        <v>158</v>
      </c>
      <c r="I38" s="94"/>
      <c r="J38" s="94"/>
      <c r="K38" s="94"/>
      <c r="L38" s="94"/>
      <c r="M38" s="94"/>
      <c r="N38" s="94"/>
      <c r="O38" s="94"/>
      <c r="P38" s="94"/>
      <c r="Q38" s="94"/>
      <c r="R38" s="94"/>
      <c r="S38" s="94"/>
      <c r="T38" s="94"/>
      <c r="U38" s="94"/>
      <c r="V38" s="94"/>
      <c r="W38" s="94"/>
      <c r="X38" s="94"/>
      <c r="Y38" s="94"/>
      <c r="Z38" s="94"/>
      <c r="AA38" s="94"/>
      <c r="AB38" s="51"/>
      <c r="AC38" s="51"/>
      <c r="AD38" s="95" t="s">
        <v>159</v>
      </c>
      <c r="AE38" s="96"/>
      <c r="AF38" s="96"/>
      <c r="AG38" s="97"/>
      <c r="AH38" s="98"/>
      <c r="AI38" s="98"/>
      <c r="AJ38" s="98"/>
      <c r="AK38" s="98"/>
      <c r="AL38" s="98"/>
      <c r="AM38" s="98"/>
      <c r="AN38" s="98"/>
      <c r="AO38" s="98"/>
      <c r="AP38" s="98"/>
      <c r="AQ38" s="98"/>
      <c r="AR38" s="98"/>
      <c r="AS38" s="98"/>
      <c r="AT38" s="98"/>
      <c r="AU38" s="98"/>
      <c r="AV38" s="98"/>
      <c r="AW38" s="98"/>
      <c r="AX38" s="98"/>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row>
    <row r="39" spans="1:77" ht="14.25" x14ac:dyDescent="0.2">
      <c r="A39" s="124" t="s">
        <v>160</v>
      </c>
      <c r="B39" s="124"/>
      <c r="C39" s="124"/>
      <c r="D39" s="60" t="s">
        <v>44</v>
      </c>
      <c r="E39" s="35"/>
      <c r="F39" s="59">
        <f>E13+E39+IF(D39="熟练",V4,0)+IF(D39="专精",V4*2,0)+IF(D39="万事通",INT(V4/2),0)</f>
        <v>-5</v>
      </c>
      <c r="G39" s="51"/>
      <c r="H39" s="29" t="s">
        <v>161</v>
      </c>
      <c r="I39" s="94"/>
      <c r="J39" s="94"/>
      <c r="K39" s="94"/>
      <c r="L39" s="94"/>
      <c r="M39" s="94"/>
      <c r="N39" s="94"/>
      <c r="O39" s="94"/>
      <c r="P39" s="94"/>
      <c r="Q39" s="94"/>
      <c r="R39" s="94"/>
      <c r="S39" s="94"/>
      <c r="T39" s="94"/>
      <c r="U39" s="94"/>
      <c r="V39" s="94"/>
      <c r="W39" s="94"/>
      <c r="X39" s="94"/>
      <c r="Y39" s="94"/>
      <c r="Z39" s="94"/>
      <c r="AA39" s="94"/>
      <c r="AB39" s="51"/>
      <c r="AC39" s="51"/>
      <c r="AD39" s="95" t="s">
        <v>162</v>
      </c>
      <c r="AE39" s="96"/>
      <c r="AF39" s="96"/>
      <c r="AG39" s="97"/>
      <c r="AH39" s="98"/>
      <c r="AI39" s="98"/>
      <c r="AJ39" s="98"/>
      <c r="AK39" s="98"/>
      <c r="AL39" s="98"/>
      <c r="AM39" s="98"/>
      <c r="AN39" s="98"/>
      <c r="AO39" s="98"/>
      <c r="AP39" s="98"/>
      <c r="AQ39" s="98"/>
      <c r="AR39" s="98"/>
      <c r="AS39" s="98"/>
      <c r="AT39" s="98"/>
      <c r="AU39" s="98"/>
      <c r="AV39" s="98"/>
      <c r="AW39" s="98"/>
      <c r="AX39" s="98"/>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row>
    <row r="40" spans="1:77" ht="14.25" x14ac:dyDescent="0.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row>
    <row r="41" spans="1:77" ht="14.25" x14ac:dyDescent="0.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row>
    <row r="42" spans="1:77" ht="14.25" x14ac:dyDescent="0.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row>
    <row r="43" spans="1:77" ht="14.25" x14ac:dyDescent="0.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row>
    <row r="44" spans="1:77" ht="14.25" x14ac:dyDescent="0.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row>
    <row r="45" spans="1:77" ht="14.25" x14ac:dyDescent="0.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row>
    <row r="46" spans="1:77" ht="14.25" x14ac:dyDescent="0.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row>
    <row r="47" spans="1:77"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row>
    <row r="48" spans="1:77"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row>
    <row r="49" spans="1:77"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row>
    <row r="50" spans="1:77"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row>
    <row r="51" spans="1:77"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row>
    <row r="52" spans="1:77"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row>
    <row r="53" spans="1:77"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row>
    <row r="54" spans="1:77"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row>
    <row r="55" spans="1:77"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row>
    <row r="56" spans="1:77"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row>
    <row r="57" spans="1:77"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row>
    <row r="58" spans="1:77"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row>
    <row r="59" spans="1:77"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row>
  </sheetData>
  <mergeCells count="299">
    <mergeCell ref="Q12:Q13"/>
    <mergeCell ref="A5:C6"/>
    <mergeCell ref="A7:C8"/>
    <mergeCell ref="A9:C10"/>
    <mergeCell ref="A11:C12"/>
    <mergeCell ref="A13:C14"/>
    <mergeCell ref="J12:L13"/>
    <mergeCell ref="R12:U13"/>
    <mergeCell ref="M12:P13"/>
    <mergeCell ref="J4:L5"/>
    <mergeCell ref="M4:Q5"/>
    <mergeCell ref="R4:U5"/>
    <mergeCell ref="G7:G8"/>
    <mergeCell ref="G9:G10"/>
    <mergeCell ref="G11:G12"/>
    <mergeCell ref="G13:G14"/>
    <mergeCell ref="H5:H6"/>
    <mergeCell ref="H7:H8"/>
    <mergeCell ref="H9:H10"/>
    <mergeCell ref="H11:H12"/>
    <mergeCell ref="H13:H14"/>
    <mergeCell ref="A38:C38"/>
    <mergeCell ref="I38:AA38"/>
    <mergeCell ref="AD38:AG38"/>
    <mergeCell ref="AH38:AX38"/>
    <mergeCell ref="A39:C39"/>
    <mergeCell ref="I39:AA39"/>
    <mergeCell ref="AD39:AG39"/>
    <mergeCell ref="AH39:AX39"/>
    <mergeCell ref="D5:D6"/>
    <mergeCell ref="D7:D8"/>
    <mergeCell ref="D9:D10"/>
    <mergeCell ref="D11:D12"/>
    <mergeCell ref="D13:D14"/>
    <mergeCell ref="E5:E6"/>
    <mergeCell ref="E7:E8"/>
    <mergeCell ref="E9:E10"/>
    <mergeCell ref="E11:E12"/>
    <mergeCell ref="E13:E14"/>
    <mergeCell ref="F5:F6"/>
    <mergeCell ref="F7:F8"/>
    <mergeCell ref="F9:F10"/>
    <mergeCell ref="F11:F12"/>
    <mergeCell ref="F13:F14"/>
    <mergeCell ref="G5:G6"/>
    <mergeCell ref="A35:C35"/>
    <mergeCell ref="I35:AA35"/>
    <mergeCell ref="AD35:AX35"/>
    <mergeCell ref="A36:C36"/>
    <mergeCell ref="I36:AA36"/>
    <mergeCell ref="AD36:AG36"/>
    <mergeCell ref="AH36:AX36"/>
    <mergeCell ref="A37:C37"/>
    <mergeCell ref="AD37:AG37"/>
    <mergeCell ref="AH37:AX37"/>
    <mergeCell ref="A32:C32"/>
    <mergeCell ref="AD32:AG32"/>
    <mergeCell ref="AH32:AX32"/>
    <mergeCell ref="A33:C33"/>
    <mergeCell ref="I33:AA33"/>
    <mergeCell ref="AD33:AG33"/>
    <mergeCell ref="AH33:AX33"/>
    <mergeCell ref="A34:C34"/>
    <mergeCell ref="I34:AA34"/>
    <mergeCell ref="AD29:AX29"/>
    <mergeCell ref="A30:C30"/>
    <mergeCell ref="I30:L30"/>
    <mergeCell ref="M30:P30"/>
    <mergeCell ref="Q30:U30"/>
    <mergeCell ref="V30:X30"/>
    <mergeCell ref="AD30:AG30"/>
    <mergeCell ref="AH30:AX30"/>
    <mergeCell ref="A31:C31"/>
    <mergeCell ref="I31:X31"/>
    <mergeCell ref="AD31:AG31"/>
    <mergeCell ref="AH31:AX31"/>
    <mergeCell ref="A28:C28"/>
    <mergeCell ref="I28:L28"/>
    <mergeCell ref="M28:P28"/>
    <mergeCell ref="Q28:U28"/>
    <mergeCell ref="V28:X28"/>
    <mergeCell ref="Y28:AA28"/>
    <mergeCell ref="A29:C29"/>
    <mergeCell ref="I29:L29"/>
    <mergeCell ref="M29:P29"/>
    <mergeCell ref="Q29:U29"/>
    <mergeCell ref="V29:X29"/>
    <mergeCell ref="AU26:AX26"/>
    <mergeCell ref="A27:C27"/>
    <mergeCell ref="I27:L27"/>
    <mergeCell ref="M27:P27"/>
    <mergeCell ref="Q27:U27"/>
    <mergeCell ref="V27:X27"/>
    <mergeCell ref="Y27:AA27"/>
    <mergeCell ref="AD27:AE27"/>
    <mergeCell ref="AF27:AI27"/>
    <mergeCell ref="AJ27:AT27"/>
    <mergeCell ref="AU27:AX27"/>
    <mergeCell ref="A26:C26"/>
    <mergeCell ref="I26:L26"/>
    <mergeCell ref="M26:P26"/>
    <mergeCell ref="Q26:U26"/>
    <mergeCell ref="V26:X26"/>
    <mergeCell ref="Y26:AA26"/>
    <mergeCell ref="AD26:AE26"/>
    <mergeCell ref="AF26:AI26"/>
    <mergeCell ref="AJ26:AT26"/>
    <mergeCell ref="AU24:AX24"/>
    <mergeCell ref="A25:C25"/>
    <mergeCell ref="I25:L25"/>
    <mergeCell ref="M25:P25"/>
    <mergeCell ref="Q25:U25"/>
    <mergeCell ref="V25:X25"/>
    <mergeCell ref="Y25:AA25"/>
    <mergeCell ref="AD25:AE25"/>
    <mergeCell ref="AF25:AI25"/>
    <mergeCell ref="AJ25:AT25"/>
    <mergeCell ref="AU25:AX25"/>
    <mergeCell ref="A24:C24"/>
    <mergeCell ref="I24:L24"/>
    <mergeCell ref="M24:P24"/>
    <mergeCell ref="Q24:U24"/>
    <mergeCell ref="V24:X24"/>
    <mergeCell ref="Y24:AA24"/>
    <mergeCell ref="AD24:AE24"/>
    <mergeCell ref="AF24:AI24"/>
    <mergeCell ref="AJ24:AT24"/>
    <mergeCell ref="AU22:AX22"/>
    <mergeCell ref="A23:C23"/>
    <mergeCell ref="I23:L23"/>
    <mergeCell ref="M23:P23"/>
    <mergeCell ref="Q23:U23"/>
    <mergeCell ref="V23:X23"/>
    <mergeCell ref="Y23:AA23"/>
    <mergeCell ref="AD23:AE23"/>
    <mergeCell ref="AF23:AI23"/>
    <mergeCell ref="AJ23:AT23"/>
    <mergeCell ref="AU23:AX23"/>
    <mergeCell ref="A22:C22"/>
    <mergeCell ref="I22:L22"/>
    <mergeCell ref="M22:P22"/>
    <mergeCell ref="Q22:U22"/>
    <mergeCell ref="V22:X22"/>
    <mergeCell ref="Y22:AA22"/>
    <mergeCell ref="AD22:AE22"/>
    <mergeCell ref="AF22:AI22"/>
    <mergeCell ref="AJ22:AT22"/>
    <mergeCell ref="A20:C20"/>
    <mergeCell ref="I20:L20"/>
    <mergeCell ref="M20:P20"/>
    <mergeCell ref="Q20:U20"/>
    <mergeCell ref="AD20:AE20"/>
    <mergeCell ref="AF20:AI20"/>
    <mergeCell ref="AJ20:AT20"/>
    <mergeCell ref="AU20:AX20"/>
    <mergeCell ref="A21:C21"/>
    <mergeCell ref="I21:L21"/>
    <mergeCell ref="M21:P21"/>
    <mergeCell ref="Q21:U21"/>
    <mergeCell ref="AD21:AE21"/>
    <mergeCell ref="AF21:AI21"/>
    <mergeCell ref="AJ21:AT21"/>
    <mergeCell ref="AU21:AX21"/>
    <mergeCell ref="V20:X21"/>
    <mergeCell ref="Y20:AA21"/>
    <mergeCell ref="A18:C18"/>
    <mergeCell ref="I18:L18"/>
    <mergeCell ref="M18:P18"/>
    <mergeCell ref="Q18:U18"/>
    <mergeCell ref="AD18:AE18"/>
    <mergeCell ref="AF18:AI18"/>
    <mergeCell ref="AJ18:AT18"/>
    <mergeCell ref="AU18:AX18"/>
    <mergeCell ref="A19:C19"/>
    <mergeCell ref="I19:L19"/>
    <mergeCell ref="M19:P19"/>
    <mergeCell ref="Q19:U19"/>
    <mergeCell ref="V19:X19"/>
    <mergeCell ref="Y19:AA19"/>
    <mergeCell ref="AD19:AE19"/>
    <mergeCell ref="AF19:AI19"/>
    <mergeCell ref="AJ19:AT19"/>
    <mergeCell ref="AU19:AX19"/>
    <mergeCell ref="BH14:BJ14"/>
    <mergeCell ref="A16:F16"/>
    <mergeCell ref="H16:AA16"/>
    <mergeCell ref="AD16:AX16"/>
    <mergeCell ref="AZ16:BJ16"/>
    <mergeCell ref="A17:C17"/>
    <mergeCell ref="I17:L17"/>
    <mergeCell ref="M17:P17"/>
    <mergeCell ref="Q17:U17"/>
    <mergeCell ref="AD17:AE17"/>
    <mergeCell ref="AF17:AI17"/>
    <mergeCell ref="AJ17:AT17"/>
    <mergeCell ref="AU17:AX17"/>
    <mergeCell ref="AZ17:BJ27"/>
    <mergeCell ref="J14:L14"/>
    <mergeCell ref="M14:P14"/>
    <mergeCell ref="R14:U14"/>
    <mergeCell ref="V14:Z14"/>
    <mergeCell ref="AD14:AG14"/>
    <mergeCell ref="AH14:AX14"/>
    <mergeCell ref="AZ14:BB14"/>
    <mergeCell ref="BC14:BD14"/>
    <mergeCell ref="BF14:BG14"/>
    <mergeCell ref="V12:Z12"/>
    <mergeCell ref="AD12:AG12"/>
    <mergeCell ref="AH12:AX12"/>
    <mergeCell ref="AZ12:BB12"/>
    <mergeCell ref="BC12:BD12"/>
    <mergeCell ref="BF12:BG12"/>
    <mergeCell ref="BH12:BJ12"/>
    <mergeCell ref="V13:Z13"/>
    <mergeCell ref="AD13:AG13"/>
    <mergeCell ref="AH13:AX13"/>
    <mergeCell ref="AZ13:BB13"/>
    <mergeCell ref="BC13:BD13"/>
    <mergeCell ref="BF13:BG13"/>
    <mergeCell ref="BH13:BJ13"/>
    <mergeCell ref="M11:P11"/>
    <mergeCell ref="R11:U11"/>
    <mergeCell ref="V11:Z11"/>
    <mergeCell ref="AD11:AG11"/>
    <mergeCell ref="AH11:AX11"/>
    <mergeCell ref="AZ11:BB11"/>
    <mergeCell ref="BC11:BD11"/>
    <mergeCell ref="BF11:BG11"/>
    <mergeCell ref="BH11:BJ11"/>
    <mergeCell ref="BH9:BJ9"/>
    <mergeCell ref="J10:L10"/>
    <mergeCell ref="M10:Q10"/>
    <mergeCell ref="R10:V10"/>
    <mergeCell ref="W10:Z10"/>
    <mergeCell ref="AD10:AG10"/>
    <mergeCell ref="AH10:AX10"/>
    <mergeCell ref="AZ10:BB10"/>
    <mergeCell ref="BC10:BD10"/>
    <mergeCell ref="BF10:BG10"/>
    <mergeCell ref="BH10:BJ10"/>
    <mergeCell ref="J9:L9"/>
    <mergeCell ref="M9:Q9"/>
    <mergeCell ref="R9:V9"/>
    <mergeCell ref="W9:Z9"/>
    <mergeCell ref="AD9:AG9"/>
    <mergeCell ref="AH9:AX9"/>
    <mergeCell ref="AZ9:BB9"/>
    <mergeCell ref="BC9:BD9"/>
    <mergeCell ref="BF9:BG9"/>
    <mergeCell ref="BH7:BJ7"/>
    <mergeCell ref="J8:L8"/>
    <mergeCell ref="M8:Q8"/>
    <mergeCell ref="R8:V8"/>
    <mergeCell ref="W8:Z8"/>
    <mergeCell ref="AD8:AG8"/>
    <mergeCell ref="AH8:AX8"/>
    <mergeCell ref="AZ8:BB8"/>
    <mergeCell ref="BC8:BD8"/>
    <mergeCell ref="BF8:BG8"/>
    <mergeCell ref="BH8:BJ8"/>
    <mergeCell ref="J7:L7"/>
    <mergeCell ref="M7:Q7"/>
    <mergeCell ref="R7:V7"/>
    <mergeCell ref="W7:Z7"/>
    <mergeCell ref="AD7:AG7"/>
    <mergeCell ref="AH7:AX7"/>
    <mergeCell ref="AZ7:BB7"/>
    <mergeCell ref="BC7:BD7"/>
    <mergeCell ref="BF7:BG7"/>
    <mergeCell ref="Y5:Z5"/>
    <mergeCell ref="AD5:AG5"/>
    <mergeCell ref="AH5:AX5"/>
    <mergeCell ref="AZ5:BB5"/>
    <mergeCell ref="BC5:BD5"/>
    <mergeCell ref="BF5:BG5"/>
    <mergeCell ref="BH5:BJ5"/>
    <mergeCell ref="J6:Q6"/>
    <mergeCell ref="R6:V6"/>
    <mergeCell ref="W6:Z6"/>
    <mergeCell ref="AD6:AG6"/>
    <mergeCell ref="AH6:AX6"/>
    <mergeCell ref="AZ6:BB6"/>
    <mergeCell ref="BC6:BD6"/>
    <mergeCell ref="BF6:BG6"/>
    <mergeCell ref="BH6:BJ6"/>
    <mergeCell ref="V4:X5"/>
    <mergeCell ref="A1:BJ1"/>
    <mergeCell ref="A2:BB2"/>
    <mergeCell ref="A3:H3"/>
    <mergeCell ref="J3:Z3"/>
    <mergeCell ref="AD3:AX3"/>
    <mergeCell ref="AZ3:BJ3"/>
    <mergeCell ref="Y4:Z4"/>
    <mergeCell ref="AD4:AG4"/>
    <mergeCell ref="AH4:AX4"/>
    <mergeCell ref="AZ4:BB4"/>
    <mergeCell ref="BC4:BE4"/>
    <mergeCell ref="BF4:BH4"/>
    <mergeCell ref="BI4:BJ4"/>
  </mergeCells>
  <dataValidations count="30">
    <dataValidation allowBlank="1" showInputMessage="1" showErrorMessage="1" sqref="BE4:BJ4 W5:X5 S6:V6 W11:Z11 W13:Z13 AZ15:BJ15 AD17 AJ17:AT17 H23:H25 AA5:AA11 AE19:AE24 AY4:AY11 AD4:AG14 AD30:AG33 AD37:AG39 AU17:AX27 AZ4:BC14 AZ17:BJ27 BD5:BG14" xr:uid="{00000000-0002-0000-0100-000000000000}"/>
    <dataValidation type="whole" allowBlank="1" showInputMessage="1" showErrorMessage="1" sqref="Y5:Z5" xr:uid="{00000000-0002-0000-0100-000001000000}">
      <formula1>-10</formula1>
      <formula2>10</formula2>
    </dataValidation>
    <dataValidation type="list" allowBlank="1" showInputMessage="1" showErrorMessage="1" sqref="R7:V7" xr:uid="{00000000-0002-0000-0100-000002000000}">
      <formula1>INDIRECT($M$7)</formula1>
    </dataValidation>
    <dataValidation type="list" allowBlank="1" showInputMessage="1" showErrorMessage="1" sqref="R8:V8" xr:uid="{00000000-0002-0000-0100-000003000000}">
      <formula1>INDIRECT($M$8)</formula1>
    </dataValidation>
    <dataValidation type="list" allowBlank="1" showInputMessage="1" showErrorMessage="1" sqref="R9:V9" xr:uid="{00000000-0002-0000-0100-000004000000}">
      <formula1>INDIRECT($M$9)</formula1>
    </dataValidation>
    <dataValidation type="list" allowBlank="1" showInputMessage="1" showErrorMessage="1" sqref="R10:V10" xr:uid="{00000000-0002-0000-0100-000005000000}">
      <formula1>INDIRECT($M$10)</formula1>
    </dataValidation>
    <dataValidation type="whole" allowBlank="1" showInputMessage="1" showErrorMessage="1" sqref="M14:P14" xr:uid="{00000000-0002-0000-0100-000006000000}">
      <formula1>0</formula1>
      <formula2>R14</formula2>
    </dataValidation>
    <dataValidation type="whole" operator="greaterThanOrEqual" allowBlank="1" showInputMessage="1" showErrorMessage="1" sqref="V14:Z14" xr:uid="{00000000-0002-0000-0100-000007000000}">
      <formula1>0</formula1>
    </dataValidation>
    <dataValidation type="list" allowBlank="1" showInputMessage="1" showErrorMessage="1" sqref="AG17:AI17 AX4:AX14 AX37:AX39" xr:uid="{00000000-0002-0000-0100-000008000000}">
      <formula1>"守序善良,中立善良,混乱善良,守序中立,绝对中立,混乱中立,守序邪恶,中立邪恶,混乱邪恶"</formula1>
    </dataValidation>
    <dataValidation type="list" allowBlank="1" showInputMessage="1" showErrorMessage="1" sqref="I18:L18" xr:uid="{00000000-0002-0000-0100-000009000000}">
      <formula1>"无,熟练,万事通"</formula1>
    </dataValidation>
    <dataValidation type="whole" operator="greaterThanOrEqual" allowBlank="1" showInputMessage="1" showErrorMessage="1" sqref="M18:P18 E18:E19 E21:E23 E25:E31 E33:E39 G5:G14 V20:X21 M20:P21 M23:P25 M27:P28 V23:X25 V27:X28" xr:uid="{00000000-0002-0000-0100-00000A000000}">
      <formula1>-5</formula1>
    </dataValidation>
    <dataValidation type="list" allowBlank="1" showInputMessage="1" sqref="I20:L20" xr:uid="{00000000-0002-0000-0100-00000B000000}">
      <formula1>"镶钉皮甲,半身板甲,板甲,法师护甲,武僧无甲防御,狂战士无甲防御,无盔甲"</formula1>
    </dataValidation>
    <dataValidation type="list" allowBlank="1" showInputMessage="1" showErrorMessage="1" sqref="I21:L21" xr:uid="{00000000-0002-0000-0100-00000C000000}">
      <formula1>"有盾牌,无盾牌"</formula1>
    </dataValidation>
    <dataValidation type="list" allowBlank="1" showInputMessage="1" showErrorMessage="1" sqref="I30:L30" xr:uid="{00000000-0002-0000-0100-00000D000000}">
      <formula1>"20,25,30,35,40"</formula1>
    </dataValidation>
    <dataValidation type="list" allowBlank="1" showInputMessage="1" sqref="AH30:AX30" xr:uid="{00000000-0002-0000-0100-00000E000000}">
      <formula1>"匕首、飞镖、投石索、长棍、轻弩,短棒、匕首、飞镖、标枪、硬头锤、长棍、弯刀、镰刀、投石索、矛,简易武器,简易武器、短剑,简易武器、手弩、刺剑、长剑、短剑,简易武器、军用武器"</formula1>
    </dataValidation>
    <dataValidation type="list" allowBlank="1" showInputMessage="1" showErrorMessage="1" sqref="AH31:AX31" xr:uid="{00000000-0002-0000-0100-00000F000000}">
      <formula1>"捕网,刺链,骑枪,立体机动装置,双刃弯刀,腕刃,巨镰,飞轮,连弩,战争投石器,枪械,无"</formula1>
    </dataValidation>
    <dataValidation type="list" allowBlank="1" showInputMessage="1" sqref="AH32:AX32" xr:uid="{00000000-0002-0000-0100-000010000000}">
      <formula1>"轻甲,轻甲、盾牌,轻甲、中甲,轻甲、中甲、盾牌,轻甲、中甲、重甲,轻甲、中甲、重甲、盾牌,无"</formula1>
    </dataValidation>
    <dataValidation type="list" allowBlank="1" showInputMessage="1" sqref="AH33:AX33" xr:uid="{00000000-0002-0000-0100-000011000000}">
      <formula1>"立体机动装置,战法宝石,毒药容体,复合滑轮,暗格弹簧,枪械套组,外延挡板,无"</formula1>
    </dataValidation>
    <dataValidation type="whole" allowBlank="1" showInputMessage="1" showErrorMessage="1" sqref="D5:D14" xr:uid="{00000000-0002-0000-0100-000012000000}">
      <formula1>0</formula1>
      <formula2>30</formula2>
    </dataValidation>
    <dataValidation type="list" allowBlank="1" showInputMessage="1" showErrorMessage="1" sqref="D18:D19 D21:D23 D25:D31 D33:D39" xr:uid="{00000000-0002-0000-0100-000013000000}">
      <formula1>"无,熟练,专精,万事通"</formula1>
    </dataValidation>
    <dataValidation type="list" allowBlank="1" showInputMessage="1" showErrorMessage="1" sqref="F5:F14" xr:uid="{00000000-0002-0000-0100-000014000000}">
      <formula1>"有,无"</formula1>
    </dataValidation>
    <dataValidation type="list" allowBlank="1" showInputMessage="1" showErrorMessage="1" sqref="AD18:AD27" xr:uid="{00000000-0002-0000-0100-000015000000}">
      <formula1>"1,2,3,4,5,6,7,8,9,10,11,12,13,14,15,16,17,18,19,20"</formula1>
    </dataValidation>
    <dataValidation type="whole" allowBlank="1" showInputMessage="1" showErrorMessage="1" sqref="M12:P13" xr:uid="{00000000-0002-0000-0100-000016000000}">
      <formula1>R12*(-1)</formula1>
      <formula2>R12</formula2>
    </dataValidation>
    <dataValidation type="list" allowBlank="1" showInputMessage="1" showErrorMessage="1" sqref="I23:L25" xr:uid="{00000000-0002-0000-0100-000017000000}">
      <formula1>"近战武器攻击,远程武器攻击,近战法术攻击,远程法术攻击"</formula1>
    </dataValidation>
    <dataValidation type="list" allowBlank="1" showInputMessage="1" showErrorMessage="1" sqref="I27:L28" xr:uid="{00000000-0002-0000-0100-000018000000}">
      <formula1>"奥术,神术,异能,机关术,气,战技,其它"</formula1>
    </dataValidation>
    <dataValidation type="list" allowBlank="1" showInputMessage="1" showErrorMessage="1" sqref="Q23:U25 Q27:U28" xr:uid="{00000000-0002-0000-0100-000019000000}">
      <formula1>"力量,敏捷,体质,智力,感知"</formula1>
    </dataValidation>
    <dataValidation type="list" allowBlank="1" showInputMessage="1" showErrorMessage="1" sqref="M7:Q10" xr:uid="{00000000-0002-0000-0100-00001A000000}">
      <formula1>"狂战士,圣武士,游侠,武僧,灵能武士,游荡者,奇械师,契术师,吟游诗人,牧师,德鲁伊,灵能师,法师"</formula1>
    </dataValidation>
    <dataValidation type="list" allowBlank="1" showInputMessage="1" showErrorMessage="1" sqref="BH5:BJ14" xr:uid="{00000000-0002-0000-0100-00001B000000}">
      <formula1>"短休,长休,不恢复"</formula1>
    </dataValidation>
    <dataValidation type="list" allowBlank="1" showInputMessage="1" showErrorMessage="1" sqref="W7:Z10" xr:uid="{00000000-0002-0000-0100-00001C000000}">
      <formula1>"0,1,2,3,4,5,6,7,8,9,10,11,12,13,14,15,16,17,18,19,20"</formula1>
    </dataValidation>
    <dataValidation type="list" allowBlank="1" showInputMessage="1" sqref="AJ18:AT27" xr:uid="{00000000-0002-0000-0100-00001D000000}">
      <formula1>INDIRECT(AF18)</formula1>
    </dataValidation>
  </dataValidation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100-00001E000000}">
          <x14:formula1>
            <xm:f>图表!$A$39:$A$304</xm:f>
          </x14:formula1>
          <xm:sqref>AF18:AI27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S122"/>
  <sheetViews>
    <sheetView workbookViewId="0">
      <selection activeCell="C30" sqref="C30:F30"/>
    </sheetView>
  </sheetViews>
  <sheetFormatPr defaultColWidth="2.7265625" defaultRowHeight="13.5" x14ac:dyDescent="0.1"/>
  <cols>
    <col min="1" max="1" width="2.7265625" customWidth="1"/>
  </cols>
  <sheetData>
    <row r="1" spans="1:97" ht="17.25" x14ac:dyDescent="0.1">
      <c r="A1" s="63" t="s">
        <v>163</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row>
    <row r="2" spans="1:97" ht="14.25" x14ac:dyDescent="0.1">
      <c r="A2" s="51"/>
      <c r="B2" s="51"/>
      <c r="C2" s="51"/>
      <c r="D2" s="51"/>
      <c r="E2" s="51"/>
      <c r="F2" s="51"/>
      <c r="G2" s="51"/>
      <c r="H2" s="51"/>
      <c r="I2" s="65" t="s">
        <v>51</v>
      </c>
      <c r="J2" s="65"/>
      <c r="K2" s="65"/>
      <c r="L2" s="182">
        <f>主要情况!M7</f>
        <v>0</v>
      </c>
      <c r="M2" s="182"/>
      <c r="N2" s="182"/>
      <c r="O2" s="182"/>
      <c r="P2" s="182"/>
      <c r="Q2" s="51"/>
      <c r="R2" s="51"/>
      <c r="S2" s="51"/>
      <c r="T2" s="51"/>
      <c r="U2" s="51"/>
      <c r="V2" s="51"/>
      <c r="W2" s="51"/>
      <c r="X2" s="51"/>
      <c r="Y2" s="51"/>
      <c r="Z2" s="51"/>
      <c r="AA2" s="51"/>
      <c r="AB2" s="51"/>
      <c r="AC2" s="51"/>
      <c r="AD2" s="51"/>
      <c r="AE2" s="51"/>
      <c r="AF2" s="51"/>
      <c r="AG2" s="51"/>
      <c r="AH2" s="51"/>
      <c r="AI2" s="51"/>
      <c r="AJ2" s="65" t="s">
        <v>47</v>
      </c>
      <c r="AK2" s="65"/>
      <c r="AL2" s="65"/>
      <c r="AM2" s="182">
        <f>主要情况!R7</f>
        <v>0</v>
      </c>
      <c r="AN2" s="182"/>
      <c r="AO2" s="182"/>
      <c r="AP2" s="182"/>
      <c r="AQ2" s="182"/>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row>
    <row r="3" spans="1:97" ht="14.25" x14ac:dyDescent="0.1">
      <c r="A3" s="64" t="s">
        <v>48</v>
      </c>
      <c r="B3" s="64"/>
      <c r="C3" s="64" t="s">
        <v>37</v>
      </c>
      <c r="D3" s="64"/>
      <c r="E3" s="64"/>
      <c r="F3" s="64"/>
      <c r="G3" s="51"/>
      <c r="H3" s="51"/>
      <c r="I3" s="65"/>
      <c r="J3" s="65"/>
      <c r="K3" s="183"/>
      <c r="L3" s="184"/>
      <c r="M3" s="184"/>
      <c r="N3" s="184"/>
      <c r="O3" s="184"/>
      <c r="P3" s="184"/>
      <c r="Q3" s="51"/>
      <c r="R3" s="51"/>
      <c r="S3" s="51"/>
      <c r="T3" s="51"/>
      <c r="U3" s="51"/>
      <c r="V3" s="51"/>
      <c r="W3" s="51"/>
      <c r="X3" s="51"/>
      <c r="Y3" s="51"/>
      <c r="Z3" s="51"/>
      <c r="AA3" s="64" t="s">
        <v>48</v>
      </c>
      <c r="AB3" s="64"/>
      <c r="AC3" s="64" t="s">
        <v>37</v>
      </c>
      <c r="AD3" s="64"/>
      <c r="AE3" s="64"/>
      <c r="AF3" s="64"/>
      <c r="AG3" s="51"/>
      <c r="AH3" s="51"/>
      <c r="AI3" s="51"/>
      <c r="AJ3" s="65"/>
      <c r="AK3" s="65"/>
      <c r="AL3" s="65"/>
      <c r="AM3" s="182"/>
      <c r="AN3" s="182"/>
      <c r="AO3" s="182"/>
      <c r="AP3" s="182"/>
      <c r="AQ3" s="182"/>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row>
    <row r="4" spans="1:97" ht="14.25" x14ac:dyDescent="0.1">
      <c r="A4" s="131">
        <v>1</v>
      </c>
      <c r="B4" s="131"/>
      <c r="C4" s="65"/>
      <c r="D4" s="65"/>
      <c r="E4" s="65"/>
      <c r="F4" s="65"/>
      <c r="G4" s="98"/>
      <c r="H4" s="98"/>
      <c r="I4" s="98"/>
      <c r="J4" s="98"/>
      <c r="K4" s="98"/>
      <c r="L4" s="98"/>
      <c r="M4" s="98"/>
      <c r="N4" s="98"/>
      <c r="O4" s="98"/>
      <c r="P4" s="98"/>
      <c r="Q4" s="98"/>
      <c r="R4" s="98"/>
      <c r="S4" s="98"/>
      <c r="T4" s="98"/>
      <c r="U4" s="98"/>
      <c r="V4" s="98"/>
      <c r="W4" s="98"/>
      <c r="X4" s="98"/>
      <c r="Y4" s="98"/>
      <c r="Z4" s="51"/>
      <c r="AA4" s="131">
        <v>1</v>
      </c>
      <c r="AB4" s="131"/>
      <c r="AC4" s="65"/>
      <c r="AD4" s="65"/>
      <c r="AE4" s="65"/>
      <c r="AF4" s="65"/>
      <c r="AG4" s="98"/>
      <c r="AH4" s="98"/>
      <c r="AI4" s="98"/>
      <c r="AJ4" s="98"/>
      <c r="AK4" s="98"/>
      <c r="AL4" s="98"/>
      <c r="AM4" s="98"/>
      <c r="AN4" s="98"/>
      <c r="AO4" s="98"/>
      <c r="AP4" s="98"/>
      <c r="AQ4" s="98"/>
      <c r="AR4" s="98"/>
      <c r="AS4" s="98"/>
      <c r="AT4" s="98"/>
      <c r="AU4" s="98"/>
      <c r="AV4" s="98"/>
      <c r="AW4" s="98"/>
      <c r="AX4" s="98"/>
      <c r="AY4" s="98"/>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row>
    <row r="5" spans="1:97" ht="14.25" x14ac:dyDescent="0.1">
      <c r="A5" s="131">
        <v>2</v>
      </c>
      <c r="B5" s="131"/>
      <c r="C5" s="65"/>
      <c r="D5" s="65"/>
      <c r="E5" s="65"/>
      <c r="F5" s="65"/>
      <c r="G5" s="98"/>
      <c r="H5" s="98"/>
      <c r="I5" s="98"/>
      <c r="J5" s="98"/>
      <c r="K5" s="98"/>
      <c r="L5" s="98"/>
      <c r="M5" s="98"/>
      <c r="N5" s="98"/>
      <c r="O5" s="98"/>
      <c r="P5" s="98"/>
      <c r="Q5" s="98"/>
      <c r="R5" s="98"/>
      <c r="S5" s="98"/>
      <c r="T5" s="98"/>
      <c r="U5" s="98"/>
      <c r="V5" s="98"/>
      <c r="W5" s="98"/>
      <c r="X5" s="98"/>
      <c r="Y5" s="98"/>
      <c r="Z5" s="51"/>
      <c r="AA5" s="131"/>
      <c r="AB5" s="131"/>
      <c r="AC5" s="65"/>
      <c r="AD5" s="65"/>
      <c r="AE5" s="65"/>
      <c r="AF5" s="65"/>
      <c r="AG5" s="98"/>
      <c r="AH5" s="98"/>
      <c r="AI5" s="98"/>
      <c r="AJ5" s="98"/>
      <c r="AK5" s="98"/>
      <c r="AL5" s="98"/>
      <c r="AM5" s="98"/>
      <c r="AN5" s="98"/>
      <c r="AO5" s="98"/>
      <c r="AP5" s="98"/>
      <c r="AQ5" s="98"/>
      <c r="AR5" s="98"/>
      <c r="AS5" s="98"/>
      <c r="AT5" s="98"/>
      <c r="AU5" s="98"/>
      <c r="AV5" s="98"/>
      <c r="AW5" s="98"/>
      <c r="AX5" s="98"/>
      <c r="AY5" s="98"/>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row>
    <row r="6" spans="1:97" ht="14.25" x14ac:dyDescent="0.1">
      <c r="A6" s="131">
        <v>3</v>
      </c>
      <c r="B6" s="131"/>
      <c r="C6" s="65"/>
      <c r="D6" s="65"/>
      <c r="E6" s="65"/>
      <c r="F6" s="65"/>
      <c r="G6" s="98"/>
      <c r="H6" s="98"/>
      <c r="I6" s="98"/>
      <c r="J6" s="98"/>
      <c r="K6" s="98"/>
      <c r="L6" s="98"/>
      <c r="M6" s="98"/>
      <c r="N6" s="98"/>
      <c r="O6" s="98"/>
      <c r="P6" s="98"/>
      <c r="Q6" s="98"/>
      <c r="R6" s="98"/>
      <c r="S6" s="98"/>
      <c r="T6" s="98"/>
      <c r="U6" s="98"/>
      <c r="V6" s="98"/>
      <c r="W6" s="98"/>
      <c r="X6" s="98"/>
      <c r="Y6" s="98"/>
      <c r="Z6" s="51"/>
      <c r="AA6" s="131"/>
      <c r="AB6" s="131"/>
      <c r="AC6" s="65"/>
      <c r="AD6" s="65"/>
      <c r="AE6" s="65"/>
      <c r="AF6" s="65"/>
      <c r="AG6" s="98"/>
      <c r="AH6" s="98"/>
      <c r="AI6" s="98"/>
      <c r="AJ6" s="98"/>
      <c r="AK6" s="98"/>
      <c r="AL6" s="98"/>
      <c r="AM6" s="98"/>
      <c r="AN6" s="98"/>
      <c r="AO6" s="98"/>
      <c r="AP6" s="98"/>
      <c r="AQ6" s="98"/>
      <c r="AR6" s="98"/>
      <c r="AS6" s="98"/>
      <c r="AT6" s="98"/>
      <c r="AU6" s="98"/>
      <c r="AV6" s="98"/>
      <c r="AW6" s="98"/>
      <c r="AX6" s="98"/>
      <c r="AY6" s="98"/>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row>
    <row r="7" spans="1:97" ht="14.25" x14ac:dyDescent="0.1">
      <c r="A7" s="131">
        <v>4</v>
      </c>
      <c r="B7" s="131"/>
      <c r="C7" s="65"/>
      <c r="D7" s="65"/>
      <c r="E7" s="65"/>
      <c r="F7" s="65"/>
      <c r="G7" s="98"/>
      <c r="H7" s="98"/>
      <c r="I7" s="98"/>
      <c r="J7" s="98"/>
      <c r="K7" s="98"/>
      <c r="L7" s="98"/>
      <c r="M7" s="98"/>
      <c r="N7" s="98"/>
      <c r="O7" s="98"/>
      <c r="P7" s="98"/>
      <c r="Q7" s="98"/>
      <c r="R7" s="98"/>
      <c r="S7" s="98"/>
      <c r="T7" s="98"/>
      <c r="U7" s="98"/>
      <c r="V7" s="98"/>
      <c r="W7" s="98"/>
      <c r="X7" s="98"/>
      <c r="Y7" s="98"/>
      <c r="Z7" s="51"/>
      <c r="AA7" s="131"/>
      <c r="AB7" s="131"/>
      <c r="AC7" s="65"/>
      <c r="AD7" s="65"/>
      <c r="AE7" s="65"/>
      <c r="AF7" s="65"/>
      <c r="AG7" s="98"/>
      <c r="AH7" s="98"/>
      <c r="AI7" s="98"/>
      <c r="AJ7" s="98"/>
      <c r="AK7" s="98"/>
      <c r="AL7" s="98"/>
      <c r="AM7" s="98"/>
      <c r="AN7" s="98"/>
      <c r="AO7" s="98"/>
      <c r="AP7" s="98"/>
      <c r="AQ7" s="98"/>
      <c r="AR7" s="98"/>
      <c r="AS7" s="98"/>
      <c r="AT7" s="98"/>
      <c r="AU7" s="98"/>
      <c r="AV7" s="98"/>
      <c r="AW7" s="98"/>
      <c r="AX7" s="98"/>
      <c r="AY7" s="98"/>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row>
    <row r="8" spans="1:97" ht="14.25" x14ac:dyDescent="0.1">
      <c r="A8" s="131">
        <v>5</v>
      </c>
      <c r="B8" s="131"/>
      <c r="C8" s="65"/>
      <c r="D8" s="65"/>
      <c r="E8" s="65"/>
      <c r="F8" s="65"/>
      <c r="G8" s="98"/>
      <c r="H8" s="98"/>
      <c r="I8" s="98"/>
      <c r="J8" s="98"/>
      <c r="K8" s="98"/>
      <c r="L8" s="98"/>
      <c r="M8" s="98"/>
      <c r="N8" s="98"/>
      <c r="O8" s="98"/>
      <c r="P8" s="98"/>
      <c r="Q8" s="98"/>
      <c r="R8" s="98"/>
      <c r="S8" s="98"/>
      <c r="T8" s="98"/>
      <c r="U8" s="98"/>
      <c r="V8" s="98"/>
      <c r="W8" s="98"/>
      <c r="X8" s="98"/>
      <c r="Y8" s="98"/>
      <c r="Z8" s="51"/>
      <c r="AA8" s="131"/>
      <c r="AB8" s="131"/>
      <c r="AC8" s="65"/>
      <c r="AD8" s="65"/>
      <c r="AE8" s="65"/>
      <c r="AF8" s="65"/>
      <c r="AG8" s="98"/>
      <c r="AH8" s="98"/>
      <c r="AI8" s="98"/>
      <c r="AJ8" s="98"/>
      <c r="AK8" s="98"/>
      <c r="AL8" s="98"/>
      <c r="AM8" s="98"/>
      <c r="AN8" s="98"/>
      <c r="AO8" s="98"/>
      <c r="AP8" s="98"/>
      <c r="AQ8" s="98"/>
      <c r="AR8" s="98"/>
      <c r="AS8" s="98"/>
      <c r="AT8" s="98"/>
      <c r="AU8" s="98"/>
      <c r="AV8" s="98"/>
      <c r="AW8" s="98"/>
      <c r="AX8" s="98"/>
      <c r="AY8" s="98"/>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row>
    <row r="9" spans="1:97" ht="14.25" x14ac:dyDescent="0.1">
      <c r="A9" s="131">
        <v>6</v>
      </c>
      <c r="B9" s="131"/>
      <c r="C9" s="65"/>
      <c r="D9" s="65"/>
      <c r="E9" s="65"/>
      <c r="F9" s="65"/>
      <c r="G9" s="98"/>
      <c r="H9" s="98"/>
      <c r="I9" s="98"/>
      <c r="J9" s="98"/>
      <c r="K9" s="98"/>
      <c r="L9" s="98"/>
      <c r="M9" s="98"/>
      <c r="N9" s="98"/>
      <c r="O9" s="98"/>
      <c r="P9" s="98"/>
      <c r="Q9" s="98"/>
      <c r="R9" s="98"/>
      <c r="S9" s="98"/>
      <c r="T9" s="98"/>
      <c r="U9" s="98"/>
      <c r="V9" s="98"/>
      <c r="W9" s="98"/>
      <c r="X9" s="98"/>
      <c r="Y9" s="98"/>
      <c r="Z9" s="51"/>
      <c r="AA9" s="131"/>
      <c r="AB9" s="131"/>
      <c r="AC9" s="65"/>
      <c r="AD9" s="65"/>
      <c r="AE9" s="65"/>
      <c r="AF9" s="65"/>
      <c r="AG9" s="98"/>
      <c r="AH9" s="98"/>
      <c r="AI9" s="98"/>
      <c r="AJ9" s="98"/>
      <c r="AK9" s="98"/>
      <c r="AL9" s="98"/>
      <c r="AM9" s="98"/>
      <c r="AN9" s="98"/>
      <c r="AO9" s="98"/>
      <c r="AP9" s="98"/>
      <c r="AQ9" s="98"/>
      <c r="AR9" s="98"/>
      <c r="AS9" s="98"/>
      <c r="AT9" s="98"/>
      <c r="AU9" s="98"/>
      <c r="AV9" s="98"/>
      <c r="AW9" s="98"/>
      <c r="AX9" s="98"/>
      <c r="AY9" s="98"/>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row>
    <row r="10" spans="1:97" ht="14.25" x14ac:dyDescent="0.1">
      <c r="A10" s="131">
        <v>7</v>
      </c>
      <c r="B10" s="131"/>
      <c r="C10" s="65"/>
      <c r="D10" s="65"/>
      <c r="E10" s="65"/>
      <c r="F10" s="65"/>
      <c r="G10" s="98"/>
      <c r="H10" s="98"/>
      <c r="I10" s="98"/>
      <c r="J10" s="98"/>
      <c r="K10" s="98"/>
      <c r="L10" s="98"/>
      <c r="M10" s="98"/>
      <c r="N10" s="98"/>
      <c r="O10" s="98"/>
      <c r="P10" s="98"/>
      <c r="Q10" s="98"/>
      <c r="R10" s="98"/>
      <c r="S10" s="98"/>
      <c r="T10" s="98"/>
      <c r="U10" s="98"/>
      <c r="V10" s="98"/>
      <c r="W10" s="98"/>
      <c r="X10" s="98"/>
      <c r="Y10" s="98"/>
      <c r="Z10" s="51"/>
      <c r="AA10" s="131"/>
      <c r="AB10" s="131"/>
      <c r="AC10" s="65"/>
      <c r="AD10" s="65"/>
      <c r="AE10" s="65"/>
      <c r="AF10" s="65"/>
      <c r="AG10" s="98"/>
      <c r="AH10" s="98"/>
      <c r="AI10" s="98"/>
      <c r="AJ10" s="98"/>
      <c r="AK10" s="98"/>
      <c r="AL10" s="98"/>
      <c r="AM10" s="98"/>
      <c r="AN10" s="98"/>
      <c r="AO10" s="98"/>
      <c r="AP10" s="98"/>
      <c r="AQ10" s="98"/>
      <c r="AR10" s="98"/>
      <c r="AS10" s="98"/>
      <c r="AT10" s="98"/>
      <c r="AU10" s="98"/>
      <c r="AV10" s="98"/>
      <c r="AW10" s="98"/>
      <c r="AX10" s="98"/>
      <c r="AY10" s="98"/>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row>
    <row r="11" spans="1:97" ht="14.25" x14ac:dyDescent="0.1">
      <c r="A11" s="131">
        <v>8</v>
      </c>
      <c r="B11" s="131"/>
      <c r="C11" s="65"/>
      <c r="D11" s="65"/>
      <c r="E11" s="65"/>
      <c r="F11" s="65"/>
      <c r="G11" s="98"/>
      <c r="H11" s="98"/>
      <c r="I11" s="98"/>
      <c r="J11" s="98"/>
      <c r="K11" s="98"/>
      <c r="L11" s="98"/>
      <c r="M11" s="98"/>
      <c r="N11" s="98"/>
      <c r="O11" s="98"/>
      <c r="P11" s="98"/>
      <c r="Q11" s="98"/>
      <c r="R11" s="98"/>
      <c r="S11" s="98"/>
      <c r="T11" s="98"/>
      <c r="U11" s="98"/>
      <c r="V11" s="98"/>
      <c r="W11" s="98"/>
      <c r="X11" s="98"/>
      <c r="Y11" s="98"/>
      <c r="Z11" s="51"/>
      <c r="AA11" s="131"/>
      <c r="AB11" s="131"/>
      <c r="AC11" s="65"/>
      <c r="AD11" s="65"/>
      <c r="AE11" s="65"/>
      <c r="AF11" s="65"/>
      <c r="AG11" s="98"/>
      <c r="AH11" s="98"/>
      <c r="AI11" s="98"/>
      <c r="AJ11" s="98"/>
      <c r="AK11" s="98"/>
      <c r="AL11" s="98"/>
      <c r="AM11" s="98"/>
      <c r="AN11" s="98"/>
      <c r="AO11" s="98"/>
      <c r="AP11" s="98"/>
      <c r="AQ11" s="98"/>
      <c r="AR11" s="98"/>
      <c r="AS11" s="98"/>
      <c r="AT11" s="98"/>
      <c r="AU11" s="98"/>
      <c r="AV11" s="98"/>
      <c r="AW11" s="98"/>
      <c r="AX11" s="98"/>
      <c r="AY11" s="98"/>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row>
    <row r="12" spans="1:97" ht="14.25" x14ac:dyDescent="0.1">
      <c r="A12" s="131">
        <v>9</v>
      </c>
      <c r="B12" s="131"/>
      <c r="C12" s="65"/>
      <c r="D12" s="65"/>
      <c r="E12" s="65"/>
      <c r="F12" s="65"/>
      <c r="G12" s="98"/>
      <c r="H12" s="98"/>
      <c r="I12" s="98"/>
      <c r="J12" s="98"/>
      <c r="K12" s="98"/>
      <c r="L12" s="98"/>
      <c r="M12" s="98"/>
      <c r="N12" s="98"/>
      <c r="O12" s="98"/>
      <c r="P12" s="98"/>
      <c r="Q12" s="98"/>
      <c r="R12" s="98"/>
      <c r="S12" s="98"/>
      <c r="T12" s="98"/>
      <c r="U12" s="98"/>
      <c r="V12" s="98"/>
      <c r="W12" s="98"/>
      <c r="X12" s="98"/>
      <c r="Y12" s="98"/>
      <c r="Z12" s="51"/>
      <c r="AA12" s="51"/>
      <c r="AB12" s="51"/>
      <c r="AC12" s="51"/>
      <c r="AD12" s="51"/>
      <c r="AE12" s="51"/>
      <c r="AF12" s="51"/>
      <c r="AG12" s="51"/>
      <c r="AH12" s="51"/>
      <c r="AI12" s="51"/>
      <c r="AJ12" s="65" t="s">
        <v>164</v>
      </c>
      <c r="AK12" s="65"/>
      <c r="AL12" s="65"/>
      <c r="AM12" s="185" t="s">
        <v>165</v>
      </c>
      <c r="AN12" s="185"/>
      <c r="AO12" s="185"/>
      <c r="AP12" s="185"/>
      <c r="AQ12" s="185"/>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row>
    <row r="13" spans="1:97" ht="14.25" x14ac:dyDescent="0.1">
      <c r="A13" s="131">
        <v>10</v>
      </c>
      <c r="B13" s="131"/>
      <c r="C13" s="65"/>
      <c r="D13" s="65"/>
      <c r="E13" s="65"/>
      <c r="F13" s="65"/>
      <c r="G13" s="98"/>
      <c r="H13" s="98"/>
      <c r="I13" s="98"/>
      <c r="J13" s="98"/>
      <c r="K13" s="98"/>
      <c r="L13" s="98"/>
      <c r="M13" s="98"/>
      <c r="N13" s="98"/>
      <c r="O13" s="98"/>
      <c r="P13" s="98"/>
      <c r="Q13" s="98"/>
      <c r="R13" s="98"/>
      <c r="S13" s="98"/>
      <c r="T13" s="98"/>
      <c r="U13" s="98"/>
      <c r="V13" s="98"/>
      <c r="W13" s="98"/>
      <c r="X13" s="98"/>
      <c r="Y13" s="98"/>
      <c r="Z13" s="51"/>
      <c r="AA13" s="64" t="s">
        <v>48</v>
      </c>
      <c r="AB13" s="64"/>
      <c r="AC13" s="64" t="s">
        <v>37</v>
      </c>
      <c r="AD13" s="64"/>
      <c r="AE13" s="64"/>
      <c r="AF13" s="64"/>
      <c r="AG13" s="51"/>
      <c r="AH13" s="51"/>
      <c r="AI13" s="51"/>
      <c r="AJ13" s="65"/>
      <c r="AK13" s="65"/>
      <c r="AL13" s="65"/>
      <c r="AM13" s="185"/>
      <c r="AN13" s="185"/>
      <c r="AO13" s="185"/>
      <c r="AP13" s="185"/>
      <c r="AQ13" s="185"/>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row>
    <row r="14" spans="1:97" ht="14.25" x14ac:dyDescent="0.1">
      <c r="A14" s="131">
        <v>11</v>
      </c>
      <c r="B14" s="131"/>
      <c r="C14" s="65"/>
      <c r="D14" s="65"/>
      <c r="E14" s="65"/>
      <c r="F14" s="65"/>
      <c r="G14" s="98"/>
      <c r="H14" s="98"/>
      <c r="I14" s="98"/>
      <c r="J14" s="98"/>
      <c r="K14" s="98"/>
      <c r="L14" s="98"/>
      <c r="M14" s="98"/>
      <c r="N14" s="98"/>
      <c r="O14" s="98"/>
      <c r="P14" s="98"/>
      <c r="Q14" s="98"/>
      <c r="R14" s="98"/>
      <c r="S14" s="98"/>
      <c r="T14" s="98"/>
      <c r="U14" s="98"/>
      <c r="V14" s="98"/>
      <c r="W14" s="98"/>
      <c r="X14" s="98"/>
      <c r="Y14" s="98"/>
      <c r="Z14" s="51"/>
      <c r="AA14" s="131"/>
      <c r="AB14" s="131"/>
      <c r="AC14" s="65"/>
      <c r="AD14" s="65"/>
      <c r="AE14" s="65"/>
      <c r="AF14" s="65"/>
      <c r="AG14" s="98"/>
      <c r="AH14" s="98"/>
      <c r="AI14" s="98"/>
      <c r="AJ14" s="98"/>
      <c r="AK14" s="98"/>
      <c r="AL14" s="98"/>
      <c r="AM14" s="98"/>
      <c r="AN14" s="98"/>
      <c r="AO14" s="98"/>
      <c r="AP14" s="98"/>
      <c r="AQ14" s="98"/>
      <c r="AR14" s="98"/>
      <c r="AS14" s="98"/>
      <c r="AT14" s="98"/>
      <c r="AU14" s="98"/>
      <c r="AV14" s="98"/>
      <c r="AW14" s="98"/>
      <c r="AX14" s="98"/>
      <c r="AY14" s="98"/>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row>
    <row r="15" spans="1:97" ht="14.25" x14ac:dyDescent="0.1">
      <c r="A15" s="131">
        <v>12</v>
      </c>
      <c r="B15" s="131"/>
      <c r="C15" s="65"/>
      <c r="D15" s="65"/>
      <c r="E15" s="65"/>
      <c r="F15" s="65"/>
      <c r="G15" s="98"/>
      <c r="H15" s="98"/>
      <c r="I15" s="98"/>
      <c r="J15" s="98"/>
      <c r="K15" s="98"/>
      <c r="L15" s="98"/>
      <c r="M15" s="98"/>
      <c r="N15" s="98"/>
      <c r="O15" s="98"/>
      <c r="P15" s="98"/>
      <c r="Q15" s="98"/>
      <c r="R15" s="98"/>
      <c r="S15" s="98"/>
      <c r="T15" s="98"/>
      <c r="U15" s="98"/>
      <c r="V15" s="98"/>
      <c r="W15" s="98"/>
      <c r="X15" s="98"/>
      <c r="Y15" s="98"/>
      <c r="Z15" s="51"/>
      <c r="AA15" s="131"/>
      <c r="AB15" s="131"/>
      <c r="AC15" s="65"/>
      <c r="AD15" s="65"/>
      <c r="AE15" s="65"/>
      <c r="AF15" s="65"/>
      <c r="AG15" s="98"/>
      <c r="AH15" s="98"/>
      <c r="AI15" s="98"/>
      <c r="AJ15" s="98"/>
      <c r="AK15" s="98"/>
      <c r="AL15" s="98"/>
      <c r="AM15" s="98"/>
      <c r="AN15" s="98"/>
      <c r="AO15" s="98"/>
      <c r="AP15" s="98"/>
      <c r="AQ15" s="98"/>
      <c r="AR15" s="98"/>
      <c r="AS15" s="98"/>
      <c r="AT15" s="98"/>
      <c r="AU15" s="98"/>
      <c r="AV15" s="98"/>
      <c r="AW15" s="98"/>
      <c r="AX15" s="98"/>
      <c r="AY15" s="98"/>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row>
    <row r="16" spans="1:97" ht="14.25" x14ac:dyDescent="0.1">
      <c r="A16" s="131">
        <v>13</v>
      </c>
      <c r="B16" s="131"/>
      <c r="C16" s="65"/>
      <c r="D16" s="65"/>
      <c r="E16" s="65"/>
      <c r="F16" s="65"/>
      <c r="G16" s="98"/>
      <c r="H16" s="98"/>
      <c r="I16" s="98"/>
      <c r="J16" s="98"/>
      <c r="K16" s="98"/>
      <c r="L16" s="98"/>
      <c r="M16" s="98"/>
      <c r="N16" s="98"/>
      <c r="O16" s="98"/>
      <c r="P16" s="98"/>
      <c r="Q16" s="98"/>
      <c r="R16" s="98"/>
      <c r="S16" s="98"/>
      <c r="T16" s="98"/>
      <c r="U16" s="98"/>
      <c r="V16" s="98"/>
      <c r="W16" s="98"/>
      <c r="X16" s="98"/>
      <c r="Y16" s="98"/>
      <c r="Z16" s="51"/>
      <c r="AA16" s="131"/>
      <c r="AB16" s="131"/>
      <c r="AC16" s="65"/>
      <c r="AD16" s="65"/>
      <c r="AE16" s="65"/>
      <c r="AF16" s="65"/>
      <c r="AG16" s="98"/>
      <c r="AH16" s="98"/>
      <c r="AI16" s="98"/>
      <c r="AJ16" s="98"/>
      <c r="AK16" s="98"/>
      <c r="AL16" s="98"/>
      <c r="AM16" s="98"/>
      <c r="AN16" s="98"/>
      <c r="AO16" s="98"/>
      <c r="AP16" s="98"/>
      <c r="AQ16" s="98"/>
      <c r="AR16" s="98"/>
      <c r="AS16" s="98"/>
      <c r="AT16" s="98"/>
      <c r="AU16" s="98"/>
      <c r="AV16" s="98"/>
      <c r="AW16" s="98"/>
      <c r="AX16" s="98"/>
      <c r="AY16" s="98"/>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row>
    <row r="17" spans="1:97" ht="14.25" x14ac:dyDescent="0.1">
      <c r="A17" s="131">
        <v>14</v>
      </c>
      <c r="B17" s="131"/>
      <c r="C17" s="65"/>
      <c r="D17" s="65"/>
      <c r="E17" s="65"/>
      <c r="F17" s="65"/>
      <c r="G17" s="98"/>
      <c r="H17" s="98"/>
      <c r="I17" s="98"/>
      <c r="J17" s="98"/>
      <c r="K17" s="98"/>
      <c r="L17" s="98"/>
      <c r="M17" s="98"/>
      <c r="N17" s="98"/>
      <c r="O17" s="98"/>
      <c r="P17" s="98"/>
      <c r="Q17" s="98"/>
      <c r="R17" s="98"/>
      <c r="S17" s="98"/>
      <c r="T17" s="98"/>
      <c r="U17" s="98"/>
      <c r="V17" s="98"/>
      <c r="W17" s="98"/>
      <c r="X17" s="98"/>
      <c r="Y17" s="98"/>
      <c r="Z17" s="51"/>
      <c r="AA17" s="131"/>
      <c r="AB17" s="131"/>
      <c r="AC17" s="65"/>
      <c r="AD17" s="65"/>
      <c r="AE17" s="65"/>
      <c r="AF17" s="65"/>
      <c r="AG17" s="98"/>
      <c r="AH17" s="98"/>
      <c r="AI17" s="98"/>
      <c r="AJ17" s="98"/>
      <c r="AK17" s="98"/>
      <c r="AL17" s="98"/>
      <c r="AM17" s="98"/>
      <c r="AN17" s="98"/>
      <c r="AO17" s="98"/>
      <c r="AP17" s="98"/>
      <c r="AQ17" s="98"/>
      <c r="AR17" s="98"/>
      <c r="AS17" s="98"/>
      <c r="AT17" s="98"/>
      <c r="AU17" s="98"/>
      <c r="AV17" s="98"/>
      <c r="AW17" s="98"/>
      <c r="AX17" s="98"/>
      <c r="AY17" s="98"/>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row>
    <row r="18" spans="1:97" ht="14.25" x14ac:dyDescent="0.1">
      <c r="A18" s="131">
        <v>15</v>
      </c>
      <c r="B18" s="131"/>
      <c r="C18" s="65"/>
      <c r="D18" s="65"/>
      <c r="E18" s="65"/>
      <c r="F18" s="65"/>
      <c r="G18" s="98"/>
      <c r="H18" s="98"/>
      <c r="I18" s="98"/>
      <c r="J18" s="98"/>
      <c r="K18" s="98"/>
      <c r="L18" s="98"/>
      <c r="M18" s="98"/>
      <c r="N18" s="98"/>
      <c r="O18" s="98"/>
      <c r="P18" s="98"/>
      <c r="Q18" s="98"/>
      <c r="R18" s="98"/>
      <c r="S18" s="98"/>
      <c r="T18" s="98"/>
      <c r="U18" s="98"/>
      <c r="V18" s="98"/>
      <c r="W18" s="98"/>
      <c r="X18" s="98"/>
      <c r="Y18" s="98"/>
      <c r="Z18" s="51"/>
      <c r="AA18" s="131"/>
      <c r="AB18" s="131"/>
      <c r="AC18" s="65"/>
      <c r="AD18" s="65"/>
      <c r="AE18" s="65"/>
      <c r="AF18" s="65"/>
      <c r="AG18" s="98"/>
      <c r="AH18" s="98"/>
      <c r="AI18" s="98"/>
      <c r="AJ18" s="98"/>
      <c r="AK18" s="98"/>
      <c r="AL18" s="98"/>
      <c r="AM18" s="98"/>
      <c r="AN18" s="98"/>
      <c r="AO18" s="98"/>
      <c r="AP18" s="98"/>
      <c r="AQ18" s="98"/>
      <c r="AR18" s="98"/>
      <c r="AS18" s="98"/>
      <c r="AT18" s="98"/>
      <c r="AU18" s="98"/>
      <c r="AV18" s="98"/>
      <c r="AW18" s="98"/>
      <c r="AX18" s="98"/>
      <c r="AY18" s="98"/>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row>
    <row r="19" spans="1:97" ht="14.25" x14ac:dyDescent="0.1">
      <c r="A19" s="131">
        <v>16</v>
      </c>
      <c r="B19" s="131"/>
      <c r="C19" s="65"/>
      <c r="D19" s="65"/>
      <c r="E19" s="65"/>
      <c r="F19" s="65"/>
      <c r="G19" s="98"/>
      <c r="H19" s="98"/>
      <c r="I19" s="98"/>
      <c r="J19" s="98"/>
      <c r="K19" s="98"/>
      <c r="L19" s="98"/>
      <c r="M19" s="98"/>
      <c r="N19" s="98"/>
      <c r="O19" s="98"/>
      <c r="P19" s="98"/>
      <c r="Q19" s="98"/>
      <c r="R19" s="98"/>
      <c r="S19" s="98"/>
      <c r="T19" s="98"/>
      <c r="U19" s="98"/>
      <c r="V19" s="98"/>
      <c r="W19" s="98"/>
      <c r="X19" s="98"/>
      <c r="Y19" s="98"/>
      <c r="Z19" s="51"/>
      <c r="AA19" s="131"/>
      <c r="AB19" s="131"/>
      <c r="AC19" s="65"/>
      <c r="AD19" s="65"/>
      <c r="AE19" s="65"/>
      <c r="AF19" s="65"/>
      <c r="AG19" s="98"/>
      <c r="AH19" s="98"/>
      <c r="AI19" s="98"/>
      <c r="AJ19" s="98"/>
      <c r="AK19" s="98"/>
      <c r="AL19" s="98"/>
      <c r="AM19" s="98"/>
      <c r="AN19" s="98"/>
      <c r="AO19" s="98"/>
      <c r="AP19" s="98"/>
      <c r="AQ19" s="98"/>
      <c r="AR19" s="98"/>
      <c r="AS19" s="98"/>
      <c r="AT19" s="98"/>
      <c r="AU19" s="98"/>
      <c r="AV19" s="98"/>
      <c r="AW19" s="98"/>
      <c r="AX19" s="98"/>
      <c r="AY19" s="98"/>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row>
    <row r="20" spans="1:97" ht="14.25" x14ac:dyDescent="0.1">
      <c r="A20" s="131">
        <v>17</v>
      </c>
      <c r="B20" s="131"/>
      <c r="C20" s="65"/>
      <c r="D20" s="65"/>
      <c r="E20" s="65"/>
      <c r="F20" s="65"/>
      <c r="G20" s="98"/>
      <c r="H20" s="98"/>
      <c r="I20" s="98"/>
      <c r="J20" s="98"/>
      <c r="K20" s="98"/>
      <c r="L20" s="98"/>
      <c r="M20" s="98"/>
      <c r="N20" s="98"/>
      <c r="O20" s="98"/>
      <c r="P20" s="98"/>
      <c r="Q20" s="98"/>
      <c r="R20" s="98"/>
      <c r="S20" s="98"/>
      <c r="T20" s="98"/>
      <c r="U20" s="98"/>
      <c r="V20" s="98"/>
      <c r="W20" s="98"/>
      <c r="X20" s="98"/>
      <c r="Y20" s="98"/>
      <c r="Z20" s="51"/>
      <c r="AA20" s="131"/>
      <c r="AB20" s="131"/>
      <c r="AC20" s="65"/>
      <c r="AD20" s="65"/>
      <c r="AE20" s="65"/>
      <c r="AF20" s="65"/>
      <c r="AG20" s="98"/>
      <c r="AH20" s="98"/>
      <c r="AI20" s="98"/>
      <c r="AJ20" s="98"/>
      <c r="AK20" s="98"/>
      <c r="AL20" s="98"/>
      <c r="AM20" s="98"/>
      <c r="AN20" s="98"/>
      <c r="AO20" s="98"/>
      <c r="AP20" s="98"/>
      <c r="AQ20" s="98"/>
      <c r="AR20" s="98"/>
      <c r="AS20" s="98"/>
      <c r="AT20" s="98"/>
      <c r="AU20" s="98"/>
      <c r="AV20" s="98"/>
      <c r="AW20" s="98"/>
      <c r="AX20" s="98"/>
      <c r="AY20" s="98"/>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row>
    <row r="21" spans="1:97" ht="14.25" x14ac:dyDescent="0.1">
      <c r="A21" s="131">
        <v>18</v>
      </c>
      <c r="B21" s="131"/>
      <c r="C21" s="65"/>
      <c r="D21" s="65"/>
      <c r="E21" s="65"/>
      <c r="F21" s="65"/>
      <c r="G21" s="98"/>
      <c r="H21" s="98"/>
      <c r="I21" s="98"/>
      <c r="J21" s="98"/>
      <c r="K21" s="98"/>
      <c r="L21" s="98"/>
      <c r="M21" s="98"/>
      <c r="N21" s="98"/>
      <c r="O21" s="98"/>
      <c r="P21" s="98"/>
      <c r="Q21" s="98"/>
      <c r="R21" s="98"/>
      <c r="S21" s="98"/>
      <c r="T21" s="98"/>
      <c r="U21" s="98"/>
      <c r="V21" s="98"/>
      <c r="W21" s="98"/>
      <c r="X21" s="98"/>
      <c r="Y21" s="98"/>
      <c r="Z21" s="51"/>
      <c r="AA21" s="131"/>
      <c r="AB21" s="131"/>
      <c r="AC21" s="65"/>
      <c r="AD21" s="65"/>
      <c r="AE21" s="65"/>
      <c r="AF21" s="65"/>
      <c r="AG21" s="98"/>
      <c r="AH21" s="98"/>
      <c r="AI21" s="98"/>
      <c r="AJ21" s="98"/>
      <c r="AK21" s="98"/>
      <c r="AL21" s="98"/>
      <c r="AM21" s="98"/>
      <c r="AN21" s="98"/>
      <c r="AO21" s="98"/>
      <c r="AP21" s="98"/>
      <c r="AQ21" s="98"/>
      <c r="AR21" s="98"/>
      <c r="AS21" s="98"/>
      <c r="AT21" s="98"/>
      <c r="AU21" s="98"/>
      <c r="AV21" s="98"/>
      <c r="AW21" s="98"/>
      <c r="AX21" s="98"/>
      <c r="AY21" s="98"/>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row>
    <row r="22" spans="1:97" ht="14.25" x14ac:dyDescent="0.1">
      <c r="A22" s="131">
        <v>19</v>
      </c>
      <c r="B22" s="131"/>
      <c r="C22" s="65"/>
      <c r="D22" s="65"/>
      <c r="E22" s="65"/>
      <c r="F22" s="65"/>
      <c r="G22" s="98"/>
      <c r="H22" s="98"/>
      <c r="I22" s="98"/>
      <c r="J22" s="98"/>
      <c r="K22" s="98"/>
      <c r="L22" s="98"/>
      <c r="M22" s="98"/>
      <c r="N22" s="98"/>
      <c r="O22" s="98"/>
      <c r="P22" s="98"/>
      <c r="Q22" s="98"/>
      <c r="R22" s="98"/>
      <c r="S22" s="98"/>
      <c r="T22" s="98"/>
      <c r="U22" s="98"/>
      <c r="V22" s="98"/>
      <c r="W22" s="98"/>
      <c r="X22" s="98"/>
      <c r="Y22" s="98"/>
      <c r="Z22" s="51"/>
      <c r="AA22" s="131"/>
      <c r="AB22" s="131"/>
      <c r="AC22" s="65"/>
      <c r="AD22" s="65"/>
      <c r="AE22" s="65"/>
      <c r="AF22" s="65"/>
      <c r="AG22" s="98"/>
      <c r="AH22" s="98"/>
      <c r="AI22" s="98"/>
      <c r="AJ22" s="98"/>
      <c r="AK22" s="98"/>
      <c r="AL22" s="98"/>
      <c r="AM22" s="98"/>
      <c r="AN22" s="98"/>
      <c r="AO22" s="98"/>
      <c r="AP22" s="98"/>
      <c r="AQ22" s="98"/>
      <c r="AR22" s="98"/>
      <c r="AS22" s="98"/>
      <c r="AT22" s="98"/>
      <c r="AU22" s="98"/>
      <c r="AV22" s="98"/>
      <c r="AW22" s="98"/>
      <c r="AX22" s="98"/>
      <c r="AY22" s="98"/>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row>
    <row r="23" spans="1:97" ht="14.25" x14ac:dyDescent="0.1">
      <c r="A23" s="131">
        <v>20</v>
      </c>
      <c r="B23" s="131"/>
      <c r="C23" s="65"/>
      <c r="D23" s="65"/>
      <c r="E23" s="65"/>
      <c r="F23" s="65"/>
      <c r="G23" s="98"/>
      <c r="H23" s="98"/>
      <c r="I23" s="98"/>
      <c r="J23" s="98"/>
      <c r="K23" s="98"/>
      <c r="L23" s="98"/>
      <c r="M23" s="98"/>
      <c r="N23" s="98"/>
      <c r="O23" s="98"/>
      <c r="P23" s="98"/>
      <c r="Q23" s="98"/>
      <c r="R23" s="98"/>
      <c r="S23" s="98"/>
      <c r="T23" s="98"/>
      <c r="U23" s="98"/>
      <c r="V23" s="98"/>
      <c r="W23" s="98"/>
      <c r="X23" s="98"/>
      <c r="Y23" s="98"/>
      <c r="Z23" s="51"/>
      <c r="AA23" s="131"/>
      <c r="AB23" s="131"/>
      <c r="AC23" s="65"/>
      <c r="AD23" s="65"/>
      <c r="AE23" s="65"/>
      <c r="AF23" s="65"/>
      <c r="AG23" s="98"/>
      <c r="AH23" s="98"/>
      <c r="AI23" s="98"/>
      <c r="AJ23" s="98"/>
      <c r="AK23" s="98"/>
      <c r="AL23" s="98"/>
      <c r="AM23" s="98"/>
      <c r="AN23" s="98"/>
      <c r="AO23" s="98"/>
      <c r="AP23" s="98"/>
      <c r="AQ23" s="98"/>
      <c r="AR23" s="98"/>
      <c r="AS23" s="98"/>
      <c r="AT23" s="98"/>
      <c r="AU23" s="98"/>
      <c r="AV23" s="98"/>
      <c r="AW23" s="98"/>
      <c r="AX23" s="98"/>
      <c r="AY23" s="98"/>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row>
    <row r="24" spans="1:97" ht="14.25" x14ac:dyDescent="0.1">
      <c r="A24" s="131"/>
      <c r="B24" s="131"/>
      <c r="C24" s="65"/>
      <c r="D24" s="65"/>
      <c r="E24" s="65"/>
      <c r="F24" s="65"/>
      <c r="G24" s="98"/>
      <c r="H24" s="98"/>
      <c r="I24" s="98"/>
      <c r="J24" s="98"/>
      <c r="K24" s="98"/>
      <c r="L24" s="98"/>
      <c r="M24" s="98"/>
      <c r="N24" s="98"/>
      <c r="O24" s="98"/>
      <c r="P24" s="98"/>
      <c r="Q24" s="98"/>
      <c r="R24" s="98"/>
      <c r="S24" s="98"/>
      <c r="T24" s="98"/>
      <c r="U24" s="98"/>
      <c r="V24" s="98"/>
      <c r="W24" s="98"/>
      <c r="X24" s="98"/>
      <c r="Y24" s="98"/>
      <c r="Z24" s="51"/>
      <c r="AA24" s="131"/>
      <c r="AB24" s="131"/>
      <c r="AC24" s="65"/>
      <c r="AD24" s="65"/>
      <c r="AE24" s="65"/>
      <c r="AF24" s="65"/>
      <c r="AG24" s="98"/>
      <c r="AH24" s="98"/>
      <c r="AI24" s="98"/>
      <c r="AJ24" s="98"/>
      <c r="AK24" s="98"/>
      <c r="AL24" s="98"/>
      <c r="AM24" s="98"/>
      <c r="AN24" s="98"/>
      <c r="AO24" s="98"/>
      <c r="AP24" s="98"/>
      <c r="AQ24" s="98"/>
      <c r="AR24" s="98"/>
      <c r="AS24" s="98"/>
      <c r="AT24" s="98"/>
      <c r="AU24" s="98"/>
      <c r="AV24" s="98"/>
      <c r="AW24" s="98"/>
      <c r="AX24" s="98"/>
      <c r="AY24" s="98"/>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row>
    <row r="25" spans="1:97" ht="14.25" x14ac:dyDescent="0.1">
      <c r="A25" s="131"/>
      <c r="B25" s="131"/>
      <c r="C25" s="65"/>
      <c r="D25" s="65"/>
      <c r="E25" s="65"/>
      <c r="F25" s="65"/>
      <c r="G25" s="98"/>
      <c r="H25" s="98"/>
      <c r="I25" s="98"/>
      <c r="J25" s="98"/>
      <c r="K25" s="98"/>
      <c r="L25" s="98"/>
      <c r="M25" s="98"/>
      <c r="N25" s="98"/>
      <c r="O25" s="98"/>
      <c r="P25" s="98"/>
      <c r="Q25" s="98"/>
      <c r="R25" s="98"/>
      <c r="S25" s="98"/>
      <c r="T25" s="98"/>
      <c r="U25" s="98"/>
      <c r="V25" s="98"/>
      <c r="W25" s="98"/>
      <c r="X25" s="98"/>
      <c r="Y25" s="98"/>
      <c r="Z25" s="51"/>
      <c r="AA25" s="131"/>
      <c r="AB25" s="131"/>
      <c r="AC25" s="65"/>
      <c r="AD25" s="65"/>
      <c r="AE25" s="65"/>
      <c r="AF25" s="65"/>
      <c r="AG25" s="98"/>
      <c r="AH25" s="98"/>
      <c r="AI25" s="98"/>
      <c r="AJ25" s="98"/>
      <c r="AK25" s="98"/>
      <c r="AL25" s="98"/>
      <c r="AM25" s="98"/>
      <c r="AN25" s="98"/>
      <c r="AO25" s="98"/>
      <c r="AP25" s="98"/>
      <c r="AQ25" s="98"/>
      <c r="AR25" s="98"/>
      <c r="AS25" s="98"/>
      <c r="AT25" s="98"/>
      <c r="AU25" s="98"/>
      <c r="AV25" s="98"/>
      <c r="AW25" s="98"/>
      <c r="AX25" s="98"/>
      <c r="AY25" s="98"/>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row>
    <row r="26" spans="1:97" ht="14.25" x14ac:dyDescent="0.1">
      <c r="A26" s="131"/>
      <c r="B26" s="131"/>
      <c r="C26" s="65"/>
      <c r="D26" s="65"/>
      <c r="E26" s="65"/>
      <c r="F26" s="65"/>
      <c r="G26" s="98"/>
      <c r="H26" s="98"/>
      <c r="I26" s="98"/>
      <c r="J26" s="98"/>
      <c r="K26" s="98"/>
      <c r="L26" s="98"/>
      <c r="M26" s="98"/>
      <c r="N26" s="98"/>
      <c r="O26" s="98"/>
      <c r="P26" s="98"/>
      <c r="Q26" s="98"/>
      <c r="R26" s="98"/>
      <c r="S26" s="98"/>
      <c r="T26" s="98"/>
      <c r="U26" s="98"/>
      <c r="V26" s="98"/>
      <c r="W26" s="98"/>
      <c r="X26" s="98"/>
      <c r="Y26" s="98"/>
      <c r="Z26" s="51"/>
      <c r="AA26" s="131"/>
      <c r="AB26" s="131"/>
      <c r="AC26" s="65"/>
      <c r="AD26" s="65"/>
      <c r="AE26" s="65"/>
      <c r="AF26" s="65"/>
      <c r="AG26" s="98"/>
      <c r="AH26" s="98"/>
      <c r="AI26" s="98"/>
      <c r="AJ26" s="98"/>
      <c r="AK26" s="98"/>
      <c r="AL26" s="98"/>
      <c r="AM26" s="98"/>
      <c r="AN26" s="98"/>
      <c r="AO26" s="98"/>
      <c r="AP26" s="98"/>
      <c r="AQ26" s="98"/>
      <c r="AR26" s="98"/>
      <c r="AS26" s="98"/>
      <c r="AT26" s="98"/>
      <c r="AU26" s="98"/>
      <c r="AV26" s="98"/>
      <c r="AW26" s="98"/>
      <c r="AX26" s="98"/>
      <c r="AY26" s="98"/>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row>
    <row r="27" spans="1:97" ht="14.25" x14ac:dyDescent="0.1">
      <c r="A27" s="131"/>
      <c r="B27" s="131"/>
      <c r="C27" s="65"/>
      <c r="D27" s="65"/>
      <c r="E27" s="65"/>
      <c r="F27" s="65"/>
      <c r="G27" s="98"/>
      <c r="H27" s="98"/>
      <c r="I27" s="98"/>
      <c r="J27" s="98"/>
      <c r="K27" s="98"/>
      <c r="L27" s="98"/>
      <c r="M27" s="98"/>
      <c r="N27" s="98"/>
      <c r="O27" s="98"/>
      <c r="P27" s="98"/>
      <c r="Q27" s="98"/>
      <c r="R27" s="98"/>
      <c r="S27" s="98"/>
      <c r="T27" s="98"/>
      <c r="U27" s="98"/>
      <c r="V27" s="98"/>
      <c r="W27" s="98"/>
      <c r="X27" s="98"/>
      <c r="Y27" s="98"/>
      <c r="Z27" s="51"/>
      <c r="AA27" s="131"/>
      <c r="AB27" s="131"/>
      <c r="AC27" s="65"/>
      <c r="AD27" s="65"/>
      <c r="AE27" s="65"/>
      <c r="AF27" s="65"/>
      <c r="AG27" s="98"/>
      <c r="AH27" s="98"/>
      <c r="AI27" s="98"/>
      <c r="AJ27" s="98"/>
      <c r="AK27" s="98"/>
      <c r="AL27" s="98"/>
      <c r="AM27" s="98"/>
      <c r="AN27" s="98"/>
      <c r="AO27" s="98"/>
      <c r="AP27" s="98"/>
      <c r="AQ27" s="98"/>
      <c r="AR27" s="98"/>
      <c r="AS27" s="98"/>
      <c r="AT27" s="98"/>
      <c r="AU27" s="98"/>
      <c r="AV27" s="98"/>
      <c r="AW27" s="98"/>
      <c r="AX27" s="98"/>
      <c r="AY27" s="98"/>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row>
    <row r="28" spans="1:97" ht="14.25" x14ac:dyDescent="0.1">
      <c r="A28" s="51"/>
      <c r="B28" s="51"/>
      <c r="C28" s="51"/>
      <c r="D28" s="51"/>
      <c r="E28" s="51"/>
      <c r="F28" s="51"/>
      <c r="G28" s="51"/>
      <c r="H28" s="51"/>
      <c r="I28" s="65" t="s">
        <v>54</v>
      </c>
      <c r="J28" s="65"/>
      <c r="K28" s="65"/>
      <c r="L28" s="182">
        <f>主要情况!M8</f>
        <v>0</v>
      </c>
      <c r="M28" s="182"/>
      <c r="N28" s="182"/>
      <c r="O28" s="182"/>
      <c r="P28" s="182"/>
      <c r="Q28" s="51"/>
      <c r="R28" s="51"/>
      <c r="S28" s="51"/>
      <c r="T28" s="51"/>
      <c r="U28" s="51"/>
      <c r="V28" s="51"/>
      <c r="W28" s="51"/>
      <c r="X28" s="51"/>
      <c r="Y28" s="51"/>
      <c r="Z28" s="51"/>
      <c r="AA28" s="51"/>
      <c r="AB28" s="51"/>
      <c r="AC28" s="51"/>
      <c r="AD28" s="51"/>
      <c r="AE28" s="51"/>
      <c r="AF28" s="51"/>
      <c r="AG28" s="51"/>
      <c r="AH28" s="51"/>
      <c r="AI28" s="51"/>
      <c r="AJ28" s="65" t="s">
        <v>47</v>
      </c>
      <c r="AK28" s="65"/>
      <c r="AL28" s="65"/>
      <c r="AM28" s="182">
        <f>主要情况!R8</f>
        <v>0</v>
      </c>
      <c r="AN28" s="182"/>
      <c r="AO28" s="182"/>
      <c r="AP28" s="182"/>
      <c r="AQ28" s="182"/>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row>
    <row r="29" spans="1:97" ht="14.25" x14ac:dyDescent="0.1">
      <c r="A29" s="64" t="s">
        <v>48</v>
      </c>
      <c r="B29" s="64"/>
      <c r="C29" s="64" t="s">
        <v>37</v>
      </c>
      <c r="D29" s="64"/>
      <c r="E29" s="64"/>
      <c r="F29" s="64"/>
      <c r="G29" s="51"/>
      <c r="H29" s="51"/>
      <c r="I29" s="65"/>
      <c r="J29" s="65"/>
      <c r="K29" s="183"/>
      <c r="L29" s="184"/>
      <c r="M29" s="184"/>
      <c r="N29" s="184"/>
      <c r="O29" s="184"/>
      <c r="P29" s="184"/>
      <c r="Q29" s="51"/>
      <c r="R29" s="51"/>
      <c r="S29" s="51"/>
      <c r="T29" s="51"/>
      <c r="U29" s="51"/>
      <c r="V29" s="51"/>
      <c r="W29" s="51"/>
      <c r="X29" s="51"/>
      <c r="Y29" s="51"/>
      <c r="Z29" s="51"/>
      <c r="AA29" s="64" t="s">
        <v>48</v>
      </c>
      <c r="AB29" s="64"/>
      <c r="AC29" s="64" t="s">
        <v>37</v>
      </c>
      <c r="AD29" s="64"/>
      <c r="AE29" s="64"/>
      <c r="AF29" s="64"/>
      <c r="AG29" s="51"/>
      <c r="AH29" s="51"/>
      <c r="AI29" s="51"/>
      <c r="AJ29" s="65"/>
      <c r="AK29" s="65"/>
      <c r="AL29" s="65"/>
      <c r="AM29" s="182"/>
      <c r="AN29" s="182"/>
      <c r="AO29" s="182"/>
      <c r="AP29" s="182"/>
      <c r="AQ29" s="182"/>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row>
    <row r="30" spans="1:97" ht="14.25" x14ac:dyDescent="0.1">
      <c r="A30" s="131">
        <v>1</v>
      </c>
      <c r="B30" s="131"/>
      <c r="C30" s="65"/>
      <c r="D30" s="65"/>
      <c r="E30" s="65"/>
      <c r="F30" s="65"/>
      <c r="G30" s="98"/>
      <c r="H30" s="98"/>
      <c r="I30" s="98"/>
      <c r="J30" s="98"/>
      <c r="K30" s="98"/>
      <c r="L30" s="98"/>
      <c r="M30" s="98"/>
      <c r="N30" s="98"/>
      <c r="O30" s="98"/>
      <c r="P30" s="98"/>
      <c r="Q30" s="98"/>
      <c r="R30" s="98"/>
      <c r="S30" s="98"/>
      <c r="T30" s="98"/>
      <c r="U30" s="98"/>
      <c r="V30" s="98"/>
      <c r="W30" s="98"/>
      <c r="X30" s="98"/>
      <c r="Y30" s="98"/>
      <c r="Z30" s="51"/>
      <c r="AA30" s="131">
        <v>1</v>
      </c>
      <c r="AB30" s="131"/>
      <c r="AC30" s="65"/>
      <c r="AD30" s="65"/>
      <c r="AE30" s="65"/>
      <c r="AF30" s="65"/>
      <c r="AG30" s="98"/>
      <c r="AH30" s="98"/>
      <c r="AI30" s="98"/>
      <c r="AJ30" s="98"/>
      <c r="AK30" s="98"/>
      <c r="AL30" s="98"/>
      <c r="AM30" s="98"/>
      <c r="AN30" s="98"/>
      <c r="AO30" s="98"/>
      <c r="AP30" s="98"/>
      <c r="AQ30" s="98"/>
      <c r="AR30" s="98"/>
      <c r="AS30" s="98"/>
      <c r="AT30" s="98"/>
      <c r="AU30" s="98"/>
      <c r="AV30" s="98"/>
      <c r="AW30" s="98"/>
      <c r="AX30" s="98"/>
      <c r="AY30" s="98"/>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row>
    <row r="31" spans="1:97" ht="14.25" x14ac:dyDescent="0.1">
      <c r="A31" s="131">
        <v>2</v>
      </c>
      <c r="B31" s="131"/>
      <c r="C31" s="65"/>
      <c r="D31" s="65"/>
      <c r="E31" s="65"/>
      <c r="F31" s="65"/>
      <c r="G31" s="98"/>
      <c r="H31" s="98"/>
      <c r="I31" s="98"/>
      <c r="J31" s="98"/>
      <c r="K31" s="98"/>
      <c r="L31" s="98"/>
      <c r="M31" s="98"/>
      <c r="N31" s="98"/>
      <c r="O31" s="98"/>
      <c r="P31" s="98"/>
      <c r="Q31" s="98"/>
      <c r="R31" s="98"/>
      <c r="S31" s="98"/>
      <c r="T31" s="98"/>
      <c r="U31" s="98"/>
      <c r="V31" s="98"/>
      <c r="W31" s="98"/>
      <c r="X31" s="98"/>
      <c r="Y31" s="98"/>
      <c r="Z31" s="51"/>
      <c r="AA31" s="131"/>
      <c r="AB31" s="131"/>
      <c r="AC31" s="65"/>
      <c r="AD31" s="65"/>
      <c r="AE31" s="65"/>
      <c r="AF31" s="65"/>
      <c r="AG31" s="98"/>
      <c r="AH31" s="98"/>
      <c r="AI31" s="98"/>
      <c r="AJ31" s="98"/>
      <c r="AK31" s="98"/>
      <c r="AL31" s="98"/>
      <c r="AM31" s="98"/>
      <c r="AN31" s="98"/>
      <c r="AO31" s="98"/>
      <c r="AP31" s="98"/>
      <c r="AQ31" s="98"/>
      <c r="AR31" s="98"/>
      <c r="AS31" s="98"/>
      <c r="AT31" s="98"/>
      <c r="AU31" s="98"/>
      <c r="AV31" s="98"/>
      <c r="AW31" s="98"/>
      <c r="AX31" s="98"/>
      <c r="AY31" s="98"/>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row>
    <row r="32" spans="1:97" ht="14.25" x14ac:dyDescent="0.1">
      <c r="A32" s="131">
        <v>3</v>
      </c>
      <c r="B32" s="131"/>
      <c r="C32" s="65"/>
      <c r="D32" s="65"/>
      <c r="E32" s="65"/>
      <c r="F32" s="65"/>
      <c r="G32" s="98"/>
      <c r="H32" s="98"/>
      <c r="I32" s="98"/>
      <c r="J32" s="98"/>
      <c r="K32" s="98"/>
      <c r="L32" s="98"/>
      <c r="M32" s="98"/>
      <c r="N32" s="98"/>
      <c r="O32" s="98"/>
      <c r="P32" s="98"/>
      <c r="Q32" s="98"/>
      <c r="R32" s="98"/>
      <c r="S32" s="98"/>
      <c r="T32" s="98"/>
      <c r="U32" s="98"/>
      <c r="V32" s="98"/>
      <c r="W32" s="98"/>
      <c r="X32" s="98"/>
      <c r="Y32" s="98"/>
      <c r="Z32" s="51"/>
      <c r="AA32" s="131"/>
      <c r="AB32" s="131"/>
      <c r="AC32" s="65"/>
      <c r="AD32" s="65"/>
      <c r="AE32" s="65"/>
      <c r="AF32" s="65"/>
      <c r="AG32" s="98"/>
      <c r="AH32" s="98"/>
      <c r="AI32" s="98"/>
      <c r="AJ32" s="98"/>
      <c r="AK32" s="98"/>
      <c r="AL32" s="98"/>
      <c r="AM32" s="98"/>
      <c r="AN32" s="98"/>
      <c r="AO32" s="98"/>
      <c r="AP32" s="98"/>
      <c r="AQ32" s="98"/>
      <c r="AR32" s="98"/>
      <c r="AS32" s="98"/>
      <c r="AT32" s="98"/>
      <c r="AU32" s="98"/>
      <c r="AV32" s="98"/>
      <c r="AW32" s="98"/>
      <c r="AX32" s="98"/>
      <c r="AY32" s="98"/>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row>
    <row r="33" spans="1:97" ht="14.25" x14ac:dyDescent="0.1">
      <c r="A33" s="131">
        <v>4</v>
      </c>
      <c r="B33" s="131"/>
      <c r="C33" s="65"/>
      <c r="D33" s="65"/>
      <c r="E33" s="65"/>
      <c r="F33" s="65"/>
      <c r="G33" s="98"/>
      <c r="H33" s="98"/>
      <c r="I33" s="98"/>
      <c r="J33" s="98"/>
      <c r="K33" s="98"/>
      <c r="L33" s="98"/>
      <c r="M33" s="98"/>
      <c r="N33" s="98"/>
      <c r="O33" s="98"/>
      <c r="P33" s="98"/>
      <c r="Q33" s="98"/>
      <c r="R33" s="98"/>
      <c r="S33" s="98"/>
      <c r="T33" s="98"/>
      <c r="U33" s="98"/>
      <c r="V33" s="98"/>
      <c r="W33" s="98"/>
      <c r="X33" s="98"/>
      <c r="Y33" s="98"/>
      <c r="Z33" s="51"/>
      <c r="AA33" s="131"/>
      <c r="AB33" s="131"/>
      <c r="AC33" s="65"/>
      <c r="AD33" s="65"/>
      <c r="AE33" s="65"/>
      <c r="AF33" s="65"/>
      <c r="AG33" s="98"/>
      <c r="AH33" s="98"/>
      <c r="AI33" s="98"/>
      <c r="AJ33" s="98"/>
      <c r="AK33" s="98"/>
      <c r="AL33" s="98"/>
      <c r="AM33" s="98"/>
      <c r="AN33" s="98"/>
      <c r="AO33" s="98"/>
      <c r="AP33" s="98"/>
      <c r="AQ33" s="98"/>
      <c r="AR33" s="98"/>
      <c r="AS33" s="98"/>
      <c r="AT33" s="98"/>
      <c r="AU33" s="98"/>
      <c r="AV33" s="98"/>
      <c r="AW33" s="98"/>
      <c r="AX33" s="98"/>
      <c r="AY33" s="98"/>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row>
    <row r="34" spans="1:97" ht="14.25" x14ac:dyDescent="0.1">
      <c r="A34" s="131">
        <v>5</v>
      </c>
      <c r="B34" s="131"/>
      <c r="C34" s="65"/>
      <c r="D34" s="65"/>
      <c r="E34" s="65"/>
      <c r="F34" s="65"/>
      <c r="G34" s="98"/>
      <c r="H34" s="98"/>
      <c r="I34" s="98"/>
      <c r="J34" s="98"/>
      <c r="K34" s="98"/>
      <c r="L34" s="98"/>
      <c r="M34" s="98"/>
      <c r="N34" s="98"/>
      <c r="O34" s="98"/>
      <c r="P34" s="98"/>
      <c r="Q34" s="98"/>
      <c r="R34" s="98"/>
      <c r="S34" s="98"/>
      <c r="T34" s="98"/>
      <c r="U34" s="98"/>
      <c r="V34" s="98"/>
      <c r="W34" s="98"/>
      <c r="X34" s="98"/>
      <c r="Y34" s="98"/>
      <c r="Z34" s="51"/>
      <c r="AA34" s="131"/>
      <c r="AB34" s="131"/>
      <c r="AC34" s="65"/>
      <c r="AD34" s="65"/>
      <c r="AE34" s="65"/>
      <c r="AF34" s="65"/>
      <c r="AG34" s="98"/>
      <c r="AH34" s="98"/>
      <c r="AI34" s="98"/>
      <c r="AJ34" s="98"/>
      <c r="AK34" s="98"/>
      <c r="AL34" s="98"/>
      <c r="AM34" s="98"/>
      <c r="AN34" s="98"/>
      <c r="AO34" s="98"/>
      <c r="AP34" s="98"/>
      <c r="AQ34" s="98"/>
      <c r="AR34" s="98"/>
      <c r="AS34" s="98"/>
      <c r="AT34" s="98"/>
      <c r="AU34" s="98"/>
      <c r="AV34" s="98"/>
      <c r="AW34" s="98"/>
      <c r="AX34" s="98"/>
      <c r="AY34" s="98"/>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row>
    <row r="35" spans="1:97" ht="14.25" x14ac:dyDescent="0.1">
      <c r="A35" s="131">
        <v>6</v>
      </c>
      <c r="B35" s="131"/>
      <c r="C35" s="65"/>
      <c r="D35" s="65"/>
      <c r="E35" s="65"/>
      <c r="F35" s="65"/>
      <c r="G35" s="98"/>
      <c r="H35" s="98"/>
      <c r="I35" s="98"/>
      <c r="J35" s="98"/>
      <c r="K35" s="98"/>
      <c r="L35" s="98"/>
      <c r="M35" s="98"/>
      <c r="N35" s="98"/>
      <c r="O35" s="98"/>
      <c r="P35" s="98"/>
      <c r="Q35" s="98"/>
      <c r="R35" s="98"/>
      <c r="S35" s="98"/>
      <c r="T35" s="98"/>
      <c r="U35" s="98"/>
      <c r="V35" s="98"/>
      <c r="W35" s="98"/>
      <c r="X35" s="98"/>
      <c r="Y35" s="98"/>
      <c r="Z35" s="51"/>
      <c r="AA35" s="131"/>
      <c r="AB35" s="131"/>
      <c r="AC35" s="65"/>
      <c r="AD35" s="65"/>
      <c r="AE35" s="65"/>
      <c r="AF35" s="65"/>
      <c r="AG35" s="98"/>
      <c r="AH35" s="98"/>
      <c r="AI35" s="98"/>
      <c r="AJ35" s="98"/>
      <c r="AK35" s="98"/>
      <c r="AL35" s="98"/>
      <c r="AM35" s="98"/>
      <c r="AN35" s="98"/>
      <c r="AO35" s="98"/>
      <c r="AP35" s="98"/>
      <c r="AQ35" s="98"/>
      <c r="AR35" s="98"/>
      <c r="AS35" s="98"/>
      <c r="AT35" s="98"/>
      <c r="AU35" s="98"/>
      <c r="AV35" s="98"/>
      <c r="AW35" s="98"/>
      <c r="AX35" s="98"/>
      <c r="AY35" s="98"/>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row>
    <row r="36" spans="1:97" ht="14.25" x14ac:dyDescent="0.1">
      <c r="A36" s="131">
        <v>7</v>
      </c>
      <c r="B36" s="131"/>
      <c r="C36" s="65"/>
      <c r="D36" s="65"/>
      <c r="E36" s="65"/>
      <c r="F36" s="65"/>
      <c r="G36" s="98"/>
      <c r="H36" s="98"/>
      <c r="I36" s="98"/>
      <c r="J36" s="98"/>
      <c r="K36" s="98"/>
      <c r="L36" s="98"/>
      <c r="M36" s="98"/>
      <c r="N36" s="98"/>
      <c r="O36" s="98"/>
      <c r="P36" s="98"/>
      <c r="Q36" s="98"/>
      <c r="R36" s="98"/>
      <c r="S36" s="98"/>
      <c r="T36" s="98"/>
      <c r="U36" s="98"/>
      <c r="V36" s="98"/>
      <c r="W36" s="98"/>
      <c r="X36" s="98"/>
      <c r="Y36" s="98"/>
      <c r="Z36" s="51"/>
      <c r="AA36" s="131"/>
      <c r="AB36" s="131"/>
      <c r="AC36" s="65"/>
      <c r="AD36" s="65"/>
      <c r="AE36" s="65"/>
      <c r="AF36" s="65"/>
      <c r="AG36" s="98"/>
      <c r="AH36" s="98"/>
      <c r="AI36" s="98"/>
      <c r="AJ36" s="98"/>
      <c r="AK36" s="98"/>
      <c r="AL36" s="98"/>
      <c r="AM36" s="98"/>
      <c r="AN36" s="98"/>
      <c r="AO36" s="98"/>
      <c r="AP36" s="98"/>
      <c r="AQ36" s="98"/>
      <c r="AR36" s="98"/>
      <c r="AS36" s="98"/>
      <c r="AT36" s="98"/>
      <c r="AU36" s="98"/>
      <c r="AV36" s="98"/>
      <c r="AW36" s="98"/>
      <c r="AX36" s="98"/>
      <c r="AY36" s="98"/>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row>
    <row r="37" spans="1:97" ht="14.25" x14ac:dyDescent="0.1">
      <c r="A37" s="131">
        <v>8</v>
      </c>
      <c r="B37" s="131"/>
      <c r="C37" s="65"/>
      <c r="D37" s="65"/>
      <c r="E37" s="65"/>
      <c r="F37" s="65"/>
      <c r="G37" s="98"/>
      <c r="H37" s="98"/>
      <c r="I37" s="98"/>
      <c r="J37" s="98"/>
      <c r="K37" s="98"/>
      <c r="L37" s="98"/>
      <c r="M37" s="98"/>
      <c r="N37" s="98"/>
      <c r="O37" s="98"/>
      <c r="P37" s="98"/>
      <c r="Q37" s="98"/>
      <c r="R37" s="98"/>
      <c r="S37" s="98"/>
      <c r="T37" s="98"/>
      <c r="U37" s="98"/>
      <c r="V37" s="98"/>
      <c r="W37" s="98"/>
      <c r="X37" s="98"/>
      <c r="Y37" s="98"/>
      <c r="Z37" s="51"/>
      <c r="AA37" s="131"/>
      <c r="AB37" s="131"/>
      <c r="AC37" s="65"/>
      <c r="AD37" s="65"/>
      <c r="AE37" s="65"/>
      <c r="AF37" s="65"/>
      <c r="AG37" s="98"/>
      <c r="AH37" s="98"/>
      <c r="AI37" s="98"/>
      <c r="AJ37" s="98"/>
      <c r="AK37" s="98"/>
      <c r="AL37" s="98"/>
      <c r="AM37" s="98"/>
      <c r="AN37" s="98"/>
      <c r="AO37" s="98"/>
      <c r="AP37" s="98"/>
      <c r="AQ37" s="98"/>
      <c r="AR37" s="98"/>
      <c r="AS37" s="98"/>
      <c r="AT37" s="98"/>
      <c r="AU37" s="98"/>
      <c r="AV37" s="98"/>
      <c r="AW37" s="98"/>
      <c r="AX37" s="98"/>
      <c r="AY37" s="98"/>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row>
    <row r="38" spans="1:97" ht="14.25" x14ac:dyDescent="0.1">
      <c r="A38" s="131">
        <v>9</v>
      </c>
      <c r="B38" s="131"/>
      <c r="C38" s="65"/>
      <c r="D38" s="65"/>
      <c r="E38" s="65"/>
      <c r="F38" s="65"/>
      <c r="G38" s="98"/>
      <c r="H38" s="98"/>
      <c r="I38" s="98"/>
      <c r="J38" s="98"/>
      <c r="K38" s="98"/>
      <c r="L38" s="98"/>
      <c r="M38" s="98"/>
      <c r="N38" s="98"/>
      <c r="O38" s="98"/>
      <c r="P38" s="98"/>
      <c r="Q38" s="98"/>
      <c r="R38" s="98"/>
      <c r="S38" s="98"/>
      <c r="T38" s="98"/>
      <c r="U38" s="98"/>
      <c r="V38" s="98"/>
      <c r="W38" s="98"/>
      <c r="X38" s="98"/>
      <c r="Y38" s="98"/>
      <c r="Z38" s="51"/>
      <c r="AA38" s="51"/>
      <c r="AB38" s="51"/>
      <c r="AC38" s="51"/>
      <c r="AD38" s="51"/>
      <c r="AE38" s="51"/>
      <c r="AF38" s="51"/>
      <c r="AG38" s="51"/>
      <c r="AH38" s="51"/>
      <c r="AI38" s="51"/>
      <c r="AJ38" s="65" t="s">
        <v>164</v>
      </c>
      <c r="AK38" s="65"/>
      <c r="AL38" s="65"/>
      <c r="AM38" s="185" t="s">
        <v>167</v>
      </c>
      <c r="AN38" s="185"/>
      <c r="AO38" s="185"/>
      <c r="AP38" s="185"/>
      <c r="AQ38" s="185"/>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row>
    <row r="39" spans="1:97" ht="14.25" x14ac:dyDescent="0.1">
      <c r="A39" s="131">
        <v>10</v>
      </c>
      <c r="B39" s="131"/>
      <c r="C39" s="65"/>
      <c r="D39" s="65"/>
      <c r="E39" s="65"/>
      <c r="F39" s="65"/>
      <c r="G39" s="98"/>
      <c r="H39" s="98"/>
      <c r="I39" s="98"/>
      <c r="J39" s="98"/>
      <c r="K39" s="98"/>
      <c r="L39" s="98"/>
      <c r="M39" s="98"/>
      <c r="N39" s="98"/>
      <c r="O39" s="98"/>
      <c r="P39" s="98"/>
      <c r="Q39" s="98"/>
      <c r="R39" s="98"/>
      <c r="S39" s="98"/>
      <c r="T39" s="98"/>
      <c r="U39" s="98"/>
      <c r="V39" s="98"/>
      <c r="W39" s="98"/>
      <c r="X39" s="98"/>
      <c r="Y39" s="98"/>
      <c r="Z39" s="51"/>
      <c r="AA39" s="64" t="s">
        <v>48</v>
      </c>
      <c r="AB39" s="64"/>
      <c r="AC39" s="64" t="s">
        <v>37</v>
      </c>
      <c r="AD39" s="64"/>
      <c r="AE39" s="64"/>
      <c r="AF39" s="64"/>
      <c r="AG39" s="51"/>
      <c r="AH39" s="51"/>
      <c r="AI39" s="51"/>
      <c r="AJ39" s="65"/>
      <c r="AK39" s="65"/>
      <c r="AL39" s="65"/>
      <c r="AM39" s="185"/>
      <c r="AN39" s="185"/>
      <c r="AO39" s="185"/>
      <c r="AP39" s="185"/>
      <c r="AQ39" s="185"/>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row>
    <row r="40" spans="1:97" ht="14.25" x14ac:dyDescent="0.1">
      <c r="A40" s="131">
        <v>11</v>
      </c>
      <c r="B40" s="131"/>
      <c r="C40" s="65"/>
      <c r="D40" s="65"/>
      <c r="E40" s="65"/>
      <c r="F40" s="65"/>
      <c r="G40" s="98"/>
      <c r="H40" s="98"/>
      <c r="I40" s="98"/>
      <c r="J40" s="98"/>
      <c r="K40" s="98"/>
      <c r="L40" s="98"/>
      <c r="M40" s="98"/>
      <c r="N40" s="98"/>
      <c r="O40" s="98"/>
      <c r="P40" s="98"/>
      <c r="Q40" s="98"/>
      <c r="R40" s="98"/>
      <c r="S40" s="98"/>
      <c r="T40" s="98"/>
      <c r="U40" s="98"/>
      <c r="V40" s="98"/>
      <c r="W40" s="98"/>
      <c r="X40" s="98"/>
      <c r="Y40" s="98"/>
      <c r="Z40" s="51"/>
      <c r="AA40" s="131"/>
      <c r="AB40" s="131"/>
      <c r="AC40" s="65"/>
      <c r="AD40" s="65"/>
      <c r="AE40" s="65"/>
      <c r="AF40" s="65"/>
      <c r="AG40" s="98"/>
      <c r="AH40" s="98"/>
      <c r="AI40" s="98"/>
      <c r="AJ40" s="98"/>
      <c r="AK40" s="98"/>
      <c r="AL40" s="98"/>
      <c r="AM40" s="98"/>
      <c r="AN40" s="98"/>
      <c r="AO40" s="98"/>
      <c r="AP40" s="98"/>
      <c r="AQ40" s="98"/>
      <c r="AR40" s="98"/>
      <c r="AS40" s="98"/>
      <c r="AT40" s="98"/>
      <c r="AU40" s="98"/>
      <c r="AV40" s="98"/>
      <c r="AW40" s="98"/>
      <c r="AX40" s="98"/>
      <c r="AY40" s="98"/>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row>
    <row r="41" spans="1:97" ht="14.25" x14ac:dyDescent="0.1">
      <c r="A41" s="131">
        <v>12</v>
      </c>
      <c r="B41" s="131"/>
      <c r="C41" s="65"/>
      <c r="D41" s="65"/>
      <c r="E41" s="65"/>
      <c r="F41" s="65"/>
      <c r="G41" s="98"/>
      <c r="H41" s="98"/>
      <c r="I41" s="98"/>
      <c r="J41" s="98"/>
      <c r="K41" s="98"/>
      <c r="L41" s="98"/>
      <c r="M41" s="98"/>
      <c r="N41" s="98"/>
      <c r="O41" s="98"/>
      <c r="P41" s="98"/>
      <c r="Q41" s="98"/>
      <c r="R41" s="98"/>
      <c r="S41" s="98"/>
      <c r="T41" s="98"/>
      <c r="U41" s="98"/>
      <c r="V41" s="98"/>
      <c r="W41" s="98"/>
      <c r="X41" s="98"/>
      <c r="Y41" s="98"/>
      <c r="Z41" s="51"/>
      <c r="AA41" s="131"/>
      <c r="AB41" s="131"/>
      <c r="AC41" s="65"/>
      <c r="AD41" s="65"/>
      <c r="AE41" s="65"/>
      <c r="AF41" s="65"/>
      <c r="AG41" s="98"/>
      <c r="AH41" s="98"/>
      <c r="AI41" s="98"/>
      <c r="AJ41" s="98"/>
      <c r="AK41" s="98"/>
      <c r="AL41" s="98"/>
      <c r="AM41" s="98"/>
      <c r="AN41" s="98"/>
      <c r="AO41" s="98"/>
      <c r="AP41" s="98"/>
      <c r="AQ41" s="98"/>
      <c r="AR41" s="98"/>
      <c r="AS41" s="98"/>
      <c r="AT41" s="98"/>
      <c r="AU41" s="98"/>
      <c r="AV41" s="98"/>
      <c r="AW41" s="98"/>
      <c r="AX41" s="98"/>
      <c r="AY41" s="98"/>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row>
    <row r="42" spans="1:97" ht="14.25" x14ac:dyDescent="0.1">
      <c r="A42" s="131">
        <v>13</v>
      </c>
      <c r="B42" s="131"/>
      <c r="C42" s="65"/>
      <c r="D42" s="65"/>
      <c r="E42" s="65"/>
      <c r="F42" s="65"/>
      <c r="G42" s="98"/>
      <c r="H42" s="98"/>
      <c r="I42" s="98"/>
      <c r="J42" s="98"/>
      <c r="K42" s="98"/>
      <c r="L42" s="98"/>
      <c r="M42" s="98"/>
      <c r="N42" s="98"/>
      <c r="O42" s="98"/>
      <c r="P42" s="98"/>
      <c r="Q42" s="98"/>
      <c r="R42" s="98"/>
      <c r="S42" s="98"/>
      <c r="T42" s="98"/>
      <c r="U42" s="98"/>
      <c r="V42" s="98"/>
      <c r="W42" s="98"/>
      <c r="X42" s="98"/>
      <c r="Y42" s="98"/>
      <c r="Z42" s="51"/>
      <c r="AA42" s="131"/>
      <c r="AB42" s="131"/>
      <c r="AC42" s="65"/>
      <c r="AD42" s="65"/>
      <c r="AE42" s="65"/>
      <c r="AF42" s="65"/>
      <c r="AG42" s="98"/>
      <c r="AH42" s="98"/>
      <c r="AI42" s="98"/>
      <c r="AJ42" s="98"/>
      <c r="AK42" s="98"/>
      <c r="AL42" s="98"/>
      <c r="AM42" s="98"/>
      <c r="AN42" s="98"/>
      <c r="AO42" s="98"/>
      <c r="AP42" s="98"/>
      <c r="AQ42" s="98"/>
      <c r="AR42" s="98"/>
      <c r="AS42" s="98"/>
      <c r="AT42" s="98"/>
      <c r="AU42" s="98"/>
      <c r="AV42" s="98"/>
      <c r="AW42" s="98"/>
      <c r="AX42" s="98"/>
      <c r="AY42" s="98"/>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row>
    <row r="43" spans="1:97" ht="14.25" x14ac:dyDescent="0.1">
      <c r="A43" s="131">
        <v>14</v>
      </c>
      <c r="B43" s="131"/>
      <c r="C43" s="65"/>
      <c r="D43" s="65"/>
      <c r="E43" s="65"/>
      <c r="F43" s="65"/>
      <c r="G43" s="98"/>
      <c r="H43" s="98"/>
      <c r="I43" s="98"/>
      <c r="J43" s="98"/>
      <c r="K43" s="98"/>
      <c r="L43" s="98"/>
      <c r="M43" s="98"/>
      <c r="N43" s="98"/>
      <c r="O43" s="98"/>
      <c r="P43" s="98"/>
      <c r="Q43" s="98"/>
      <c r="R43" s="98"/>
      <c r="S43" s="98"/>
      <c r="T43" s="98"/>
      <c r="U43" s="98"/>
      <c r="V43" s="98"/>
      <c r="W43" s="98"/>
      <c r="X43" s="98"/>
      <c r="Y43" s="98"/>
      <c r="Z43" s="51"/>
      <c r="AA43" s="131"/>
      <c r="AB43" s="131"/>
      <c r="AC43" s="65"/>
      <c r="AD43" s="65"/>
      <c r="AE43" s="65"/>
      <c r="AF43" s="65"/>
      <c r="AG43" s="98"/>
      <c r="AH43" s="98"/>
      <c r="AI43" s="98"/>
      <c r="AJ43" s="98"/>
      <c r="AK43" s="98"/>
      <c r="AL43" s="98"/>
      <c r="AM43" s="98"/>
      <c r="AN43" s="98"/>
      <c r="AO43" s="98"/>
      <c r="AP43" s="98"/>
      <c r="AQ43" s="98"/>
      <c r="AR43" s="98"/>
      <c r="AS43" s="98"/>
      <c r="AT43" s="98"/>
      <c r="AU43" s="98"/>
      <c r="AV43" s="98"/>
      <c r="AW43" s="98"/>
      <c r="AX43" s="98"/>
      <c r="AY43" s="98"/>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row>
    <row r="44" spans="1:97" ht="14.25" x14ac:dyDescent="0.1">
      <c r="A44" s="131">
        <v>15</v>
      </c>
      <c r="B44" s="131"/>
      <c r="C44" s="65"/>
      <c r="D44" s="65"/>
      <c r="E44" s="65"/>
      <c r="F44" s="65"/>
      <c r="G44" s="98"/>
      <c r="H44" s="98"/>
      <c r="I44" s="98"/>
      <c r="J44" s="98"/>
      <c r="K44" s="98"/>
      <c r="L44" s="98"/>
      <c r="M44" s="98"/>
      <c r="N44" s="98"/>
      <c r="O44" s="98"/>
      <c r="P44" s="98"/>
      <c r="Q44" s="98"/>
      <c r="R44" s="98"/>
      <c r="S44" s="98"/>
      <c r="T44" s="98"/>
      <c r="U44" s="98"/>
      <c r="V44" s="98"/>
      <c r="W44" s="98"/>
      <c r="X44" s="98"/>
      <c r="Y44" s="98"/>
      <c r="Z44" s="51"/>
      <c r="AA44" s="131"/>
      <c r="AB44" s="131"/>
      <c r="AC44" s="65"/>
      <c r="AD44" s="65"/>
      <c r="AE44" s="65"/>
      <c r="AF44" s="65"/>
      <c r="AG44" s="98"/>
      <c r="AH44" s="98"/>
      <c r="AI44" s="98"/>
      <c r="AJ44" s="98"/>
      <c r="AK44" s="98"/>
      <c r="AL44" s="98"/>
      <c r="AM44" s="98"/>
      <c r="AN44" s="98"/>
      <c r="AO44" s="98"/>
      <c r="AP44" s="98"/>
      <c r="AQ44" s="98"/>
      <c r="AR44" s="98"/>
      <c r="AS44" s="98"/>
      <c r="AT44" s="98"/>
      <c r="AU44" s="98"/>
      <c r="AV44" s="98"/>
      <c r="AW44" s="98"/>
      <c r="AX44" s="98"/>
      <c r="AY44" s="98"/>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row>
    <row r="45" spans="1:97" ht="14.25" x14ac:dyDescent="0.1">
      <c r="A45" s="131">
        <v>16</v>
      </c>
      <c r="B45" s="131"/>
      <c r="C45" s="65"/>
      <c r="D45" s="65"/>
      <c r="E45" s="65"/>
      <c r="F45" s="65"/>
      <c r="G45" s="98"/>
      <c r="H45" s="98"/>
      <c r="I45" s="98"/>
      <c r="J45" s="98"/>
      <c r="K45" s="98"/>
      <c r="L45" s="98"/>
      <c r="M45" s="98"/>
      <c r="N45" s="98"/>
      <c r="O45" s="98"/>
      <c r="P45" s="98"/>
      <c r="Q45" s="98"/>
      <c r="R45" s="98"/>
      <c r="S45" s="98"/>
      <c r="T45" s="98"/>
      <c r="U45" s="98"/>
      <c r="V45" s="98"/>
      <c r="W45" s="98"/>
      <c r="X45" s="98"/>
      <c r="Y45" s="98"/>
      <c r="Z45" s="51"/>
      <c r="AA45" s="131"/>
      <c r="AB45" s="131"/>
      <c r="AC45" s="65"/>
      <c r="AD45" s="65"/>
      <c r="AE45" s="65"/>
      <c r="AF45" s="65"/>
      <c r="AG45" s="98"/>
      <c r="AH45" s="98"/>
      <c r="AI45" s="98"/>
      <c r="AJ45" s="98"/>
      <c r="AK45" s="98"/>
      <c r="AL45" s="98"/>
      <c r="AM45" s="98"/>
      <c r="AN45" s="98"/>
      <c r="AO45" s="98"/>
      <c r="AP45" s="98"/>
      <c r="AQ45" s="98"/>
      <c r="AR45" s="98"/>
      <c r="AS45" s="98"/>
      <c r="AT45" s="98"/>
      <c r="AU45" s="98"/>
      <c r="AV45" s="98"/>
      <c r="AW45" s="98"/>
      <c r="AX45" s="98"/>
      <c r="AY45" s="98"/>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row>
    <row r="46" spans="1:97" ht="14.25" x14ac:dyDescent="0.1">
      <c r="A46" s="131">
        <v>17</v>
      </c>
      <c r="B46" s="131"/>
      <c r="C46" s="65"/>
      <c r="D46" s="65"/>
      <c r="E46" s="65"/>
      <c r="F46" s="65"/>
      <c r="G46" s="98"/>
      <c r="H46" s="98"/>
      <c r="I46" s="98"/>
      <c r="J46" s="98"/>
      <c r="K46" s="98"/>
      <c r="L46" s="98"/>
      <c r="M46" s="98"/>
      <c r="N46" s="98"/>
      <c r="O46" s="98"/>
      <c r="P46" s="98"/>
      <c r="Q46" s="98"/>
      <c r="R46" s="98"/>
      <c r="S46" s="98"/>
      <c r="T46" s="98"/>
      <c r="U46" s="98"/>
      <c r="V46" s="98"/>
      <c r="W46" s="98"/>
      <c r="X46" s="98"/>
      <c r="Y46" s="98"/>
      <c r="Z46" s="51"/>
      <c r="AA46" s="131"/>
      <c r="AB46" s="131"/>
      <c r="AC46" s="65"/>
      <c r="AD46" s="65"/>
      <c r="AE46" s="65"/>
      <c r="AF46" s="65"/>
      <c r="AG46" s="98"/>
      <c r="AH46" s="98"/>
      <c r="AI46" s="98"/>
      <c r="AJ46" s="98"/>
      <c r="AK46" s="98"/>
      <c r="AL46" s="98"/>
      <c r="AM46" s="98"/>
      <c r="AN46" s="98"/>
      <c r="AO46" s="98"/>
      <c r="AP46" s="98"/>
      <c r="AQ46" s="98"/>
      <c r="AR46" s="98"/>
      <c r="AS46" s="98"/>
      <c r="AT46" s="98"/>
      <c r="AU46" s="98"/>
      <c r="AV46" s="98"/>
      <c r="AW46" s="98"/>
      <c r="AX46" s="98"/>
      <c r="AY46" s="98"/>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row>
    <row r="47" spans="1:97" ht="14.25" x14ac:dyDescent="0.1">
      <c r="A47" s="131">
        <v>18</v>
      </c>
      <c r="B47" s="131"/>
      <c r="C47" s="65"/>
      <c r="D47" s="65"/>
      <c r="E47" s="65"/>
      <c r="F47" s="65"/>
      <c r="G47" s="98"/>
      <c r="H47" s="98"/>
      <c r="I47" s="98"/>
      <c r="J47" s="98"/>
      <c r="K47" s="98"/>
      <c r="L47" s="98"/>
      <c r="M47" s="98"/>
      <c r="N47" s="98"/>
      <c r="O47" s="98"/>
      <c r="P47" s="98"/>
      <c r="Q47" s="98"/>
      <c r="R47" s="98"/>
      <c r="S47" s="98"/>
      <c r="T47" s="98"/>
      <c r="U47" s="98"/>
      <c r="V47" s="98"/>
      <c r="W47" s="98"/>
      <c r="X47" s="98"/>
      <c r="Y47" s="98"/>
      <c r="Z47" s="51"/>
      <c r="AA47" s="131"/>
      <c r="AB47" s="131"/>
      <c r="AC47" s="65"/>
      <c r="AD47" s="65"/>
      <c r="AE47" s="65"/>
      <c r="AF47" s="65"/>
      <c r="AG47" s="98"/>
      <c r="AH47" s="98"/>
      <c r="AI47" s="98"/>
      <c r="AJ47" s="98"/>
      <c r="AK47" s="98"/>
      <c r="AL47" s="98"/>
      <c r="AM47" s="98"/>
      <c r="AN47" s="98"/>
      <c r="AO47" s="98"/>
      <c r="AP47" s="98"/>
      <c r="AQ47" s="98"/>
      <c r="AR47" s="98"/>
      <c r="AS47" s="98"/>
      <c r="AT47" s="98"/>
      <c r="AU47" s="98"/>
      <c r="AV47" s="98"/>
      <c r="AW47" s="98"/>
      <c r="AX47" s="98"/>
      <c r="AY47" s="98"/>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row>
    <row r="48" spans="1:97" ht="14.25" x14ac:dyDescent="0.1">
      <c r="A48" s="131">
        <v>19</v>
      </c>
      <c r="B48" s="131"/>
      <c r="C48" s="65"/>
      <c r="D48" s="65"/>
      <c r="E48" s="65"/>
      <c r="F48" s="65"/>
      <c r="G48" s="98"/>
      <c r="H48" s="98"/>
      <c r="I48" s="98"/>
      <c r="J48" s="98"/>
      <c r="K48" s="98"/>
      <c r="L48" s="98"/>
      <c r="M48" s="98"/>
      <c r="N48" s="98"/>
      <c r="O48" s="98"/>
      <c r="P48" s="98"/>
      <c r="Q48" s="98"/>
      <c r="R48" s="98"/>
      <c r="S48" s="98"/>
      <c r="T48" s="98"/>
      <c r="U48" s="98"/>
      <c r="V48" s="98"/>
      <c r="W48" s="98"/>
      <c r="X48" s="98"/>
      <c r="Y48" s="98"/>
      <c r="Z48" s="51"/>
      <c r="AA48" s="131"/>
      <c r="AB48" s="131"/>
      <c r="AC48" s="65"/>
      <c r="AD48" s="65"/>
      <c r="AE48" s="65"/>
      <c r="AF48" s="65"/>
      <c r="AG48" s="98"/>
      <c r="AH48" s="98"/>
      <c r="AI48" s="98"/>
      <c r="AJ48" s="98"/>
      <c r="AK48" s="98"/>
      <c r="AL48" s="98"/>
      <c r="AM48" s="98"/>
      <c r="AN48" s="98"/>
      <c r="AO48" s="98"/>
      <c r="AP48" s="98"/>
      <c r="AQ48" s="98"/>
      <c r="AR48" s="98"/>
      <c r="AS48" s="98"/>
      <c r="AT48" s="98"/>
      <c r="AU48" s="98"/>
      <c r="AV48" s="98"/>
      <c r="AW48" s="98"/>
      <c r="AX48" s="98"/>
      <c r="AY48" s="98"/>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row>
    <row r="49" spans="1:97" ht="14.25" x14ac:dyDescent="0.1">
      <c r="A49" s="131">
        <v>20</v>
      </c>
      <c r="B49" s="131"/>
      <c r="C49" s="65"/>
      <c r="D49" s="65"/>
      <c r="E49" s="65"/>
      <c r="F49" s="65"/>
      <c r="G49" s="98"/>
      <c r="H49" s="98"/>
      <c r="I49" s="98"/>
      <c r="J49" s="98"/>
      <c r="K49" s="98"/>
      <c r="L49" s="98"/>
      <c r="M49" s="98"/>
      <c r="N49" s="98"/>
      <c r="O49" s="98"/>
      <c r="P49" s="98"/>
      <c r="Q49" s="98"/>
      <c r="R49" s="98"/>
      <c r="S49" s="98"/>
      <c r="T49" s="98"/>
      <c r="U49" s="98"/>
      <c r="V49" s="98"/>
      <c r="W49" s="98"/>
      <c r="X49" s="98"/>
      <c r="Y49" s="98"/>
      <c r="Z49" s="51"/>
      <c r="AA49" s="131"/>
      <c r="AB49" s="131"/>
      <c r="AC49" s="65"/>
      <c r="AD49" s="65"/>
      <c r="AE49" s="65"/>
      <c r="AF49" s="65"/>
      <c r="AG49" s="98"/>
      <c r="AH49" s="98"/>
      <c r="AI49" s="98"/>
      <c r="AJ49" s="98"/>
      <c r="AK49" s="98"/>
      <c r="AL49" s="98"/>
      <c r="AM49" s="98"/>
      <c r="AN49" s="98"/>
      <c r="AO49" s="98"/>
      <c r="AP49" s="98"/>
      <c r="AQ49" s="98"/>
      <c r="AR49" s="98"/>
      <c r="AS49" s="98"/>
      <c r="AT49" s="98"/>
      <c r="AU49" s="98"/>
      <c r="AV49" s="98"/>
      <c r="AW49" s="98"/>
      <c r="AX49" s="98"/>
      <c r="AY49" s="98"/>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row>
    <row r="50" spans="1:97" ht="14.25" x14ac:dyDescent="0.1">
      <c r="A50" s="131"/>
      <c r="B50" s="131"/>
      <c r="C50" s="65"/>
      <c r="D50" s="65"/>
      <c r="E50" s="65"/>
      <c r="F50" s="65"/>
      <c r="G50" s="98"/>
      <c r="H50" s="98"/>
      <c r="I50" s="98"/>
      <c r="J50" s="98"/>
      <c r="K50" s="98"/>
      <c r="L50" s="98"/>
      <c r="M50" s="98"/>
      <c r="N50" s="98"/>
      <c r="O50" s="98"/>
      <c r="P50" s="98"/>
      <c r="Q50" s="98"/>
      <c r="R50" s="98"/>
      <c r="S50" s="98"/>
      <c r="T50" s="98"/>
      <c r="U50" s="98"/>
      <c r="V50" s="98"/>
      <c r="W50" s="98"/>
      <c r="X50" s="98"/>
      <c r="Y50" s="98"/>
      <c r="Z50" s="51"/>
      <c r="AA50" s="131"/>
      <c r="AB50" s="131"/>
      <c r="AC50" s="65"/>
      <c r="AD50" s="65"/>
      <c r="AE50" s="65"/>
      <c r="AF50" s="65"/>
      <c r="AG50" s="98"/>
      <c r="AH50" s="98"/>
      <c r="AI50" s="98"/>
      <c r="AJ50" s="98"/>
      <c r="AK50" s="98"/>
      <c r="AL50" s="98"/>
      <c r="AM50" s="98"/>
      <c r="AN50" s="98"/>
      <c r="AO50" s="98"/>
      <c r="AP50" s="98"/>
      <c r="AQ50" s="98"/>
      <c r="AR50" s="98"/>
      <c r="AS50" s="98"/>
      <c r="AT50" s="98"/>
      <c r="AU50" s="98"/>
      <c r="AV50" s="98"/>
      <c r="AW50" s="98"/>
      <c r="AX50" s="98"/>
      <c r="AY50" s="98"/>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row>
    <row r="51" spans="1:97" ht="14.25" x14ac:dyDescent="0.1">
      <c r="A51" s="131"/>
      <c r="B51" s="131"/>
      <c r="C51" s="65"/>
      <c r="D51" s="65"/>
      <c r="E51" s="65"/>
      <c r="F51" s="65"/>
      <c r="G51" s="98"/>
      <c r="H51" s="98"/>
      <c r="I51" s="98"/>
      <c r="J51" s="98"/>
      <c r="K51" s="98"/>
      <c r="L51" s="98"/>
      <c r="M51" s="98"/>
      <c r="N51" s="98"/>
      <c r="O51" s="98"/>
      <c r="P51" s="98"/>
      <c r="Q51" s="98"/>
      <c r="R51" s="98"/>
      <c r="S51" s="98"/>
      <c r="T51" s="98"/>
      <c r="U51" s="98"/>
      <c r="V51" s="98"/>
      <c r="W51" s="98"/>
      <c r="X51" s="98"/>
      <c r="Y51" s="98"/>
      <c r="Z51" s="51"/>
      <c r="AA51" s="131"/>
      <c r="AB51" s="131"/>
      <c r="AC51" s="65"/>
      <c r="AD51" s="65"/>
      <c r="AE51" s="65"/>
      <c r="AF51" s="65"/>
      <c r="AG51" s="98"/>
      <c r="AH51" s="98"/>
      <c r="AI51" s="98"/>
      <c r="AJ51" s="98"/>
      <c r="AK51" s="98"/>
      <c r="AL51" s="98"/>
      <c r="AM51" s="98"/>
      <c r="AN51" s="98"/>
      <c r="AO51" s="98"/>
      <c r="AP51" s="98"/>
      <c r="AQ51" s="98"/>
      <c r="AR51" s="98"/>
      <c r="AS51" s="98"/>
      <c r="AT51" s="98"/>
      <c r="AU51" s="98"/>
      <c r="AV51" s="98"/>
      <c r="AW51" s="98"/>
      <c r="AX51" s="98"/>
      <c r="AY51" s="98"/>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row>
    <row r="52" spans="1:97" ht="14.25" x14ac:dyDescent="0.1">
      <c r="A52" s="131"/>
      <c r="B52" s="131"/>
      <c r="C52" s="65"/>
      <c r="D52" s="65"/>
      <c r="E52" s="65"/>
      <c r="F52" s="65"/>
      <c r="G52" s="98"/>
      <c r="H52" s="98"/>
      <c r="I52" s="98"/>
      <c r="J52" s="98"/>
      <c r="K52" s="98"/>
      <c r="L52" s="98"/>
      <c r="M52" s="98"/>
      <c r="N52" s="98"/>
      <c r="O52" s="98"/>
      <c r="P52" s="98"/>
      <c r="Q52" s="98"/>
      <c r="R52" s="98"/>
      <c r="S52" s="98"/>
      <c r="T52" s="98"/>
      <c r="U52" s="98"/>
      <c r="V52" s="98"/>
      <c r="W52" s="98"/>
      <c r="X52" s="98"/>
      <c r="Y52" s="98"/>
      <c r="Z52" s="51"/>
      <c r="AA52" s="131"/>
      <c r="AB52" s="131"/>
      <c r="AC52" s="65"/>
      <c r="AD52" s="65"/>
      <c r="AE52" s="65"/>
      <c r="AF52" s="65"/>
      <c r="AG52" s="98"/>
      <c r="AH52" s="98"/>
      <c r="AI52" s="98"/>
      <c r="AJ52" s="98"/>
      <c r="AK52" s="98"/>
      <c r="AL52" s="98"/>
      <c r="AM52" s="98"/>
      <c r="AN52" s="98"/>
      <c r="AO52" s="98"/>
      <c r="AP52" s="98"/>
      <c r="AQ52" s="98"/>
      <c r="AR52" s="98"/>
      <c r="AS52" s="98"/>
      <c r="AT52" s="98"/>
      <c r="AU52" s="98"/>
      <c r="AV52" s="98"/>
      <c r="AW52" s="98"/>
      <c r="AX52" s="98"/>
      <c r="AY52" s="98"/>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row>
    <row r="53" spans="1:97" ht="14.25" x14ac:dyDescent="0.1">
      <c r="A53" s="131"/>
      <c r="B53" s="131"/>
      <c r="C53" s="65"/>
      <c r="D53" s="65"/>
      <c r="E53" s="65"/>
      <c r="F53" s="65"/>
      <c r="G53" s="98"/>
      <c r="H53" s="98"/>
      <c r="I53" s="98"/>
      <c r="J53" s="98"/>
      <c r="K53" s="98"/>
      <c r="L53" s="98"/>
      <c r="M53" s="98"/>
      <c r="N53" s="98"/>
      <c r="O53" s="98"/>
      <c r="P53" s="98"/>
      <c r="Q53" s="98"/>
      <c r="R53" s="98"/>
      <c r="S53" s="98"/>
      <c r="T53" s="98"/>
      <c r="U53" s="98"/>
      <c r="V53" s="98"/>
      <c r="W53" s="98"/>
      <c r="X53" s="98"/>
      <c r="Y53" s="98"/>
      <c r="Z53" s="51"/>
      <c r="AA53" s="131"/>
      <c r="AB53" s="131"/>
      <c r="AC53" s="65"/>
      <c r="AD53" s="65"/>
      <c r="AE53" s="65"/>
      <c r="AF53" s="65"/>
      <c r="AG53" s="98"/>
      <c r="AH53" s="98"/>
      <c r="AI53" s="98"/>
      <c r="AJ53" s="98"/>
      <c r="AK53" s="98"/>
      <c r="AL53" s="98"/>
      <c r="AM53" s="98"/>
      <c r="AN53" s="98"/>
      <c r="AO53" s="98"/>
      <c r="AP53" s="98"/>
      <c r="AQ53" s="98"/>
      <c r="AR53" s="98"/>
      <c r="AS53" s="98"/>
      <c r="AT53" s="98"/>
      <c r="AU53" s="98"/>
      <c r="AV53" s="98"/>
      <c r="AW53" s="98"/>
      <c r="AX53" s="98"/>
      <c r="AY53" s="98"/>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row>
    <row r="54" spans="1:97" ht="14.25" x14ac:dyDescent="0.1">
      <c r="A54" s="51"/>
      <c r="B54" s="51"/>
      <c r="C54" s="51"/>
      <c r="D54" s="51"/>
      <c r="E54" s="51"/>
      <c r="F54" s="51"/>
      <c r="G54" s="51"/>
      <c r="H54" s="51"/>
      <c r="I54" s="65" t="s">
        <v>57</v>
      </c>
      <c r="J54" s="65"/>
      <c r="K54" s="65"/>
      <c r="L54" s="182">
        <f>主要情况!M9</f>
        <v>0</v>
      </c>
      <c r="M54" s="182"/>
      <c r="N54" s="182"/>
      <c r="O54" s="182"/>
      <c r="P54" s="182"/>
      <c r="Q54" s="51"/>
      <c r="R54" s="51"/>
      <c r="S54" s="51"/>
      <c r="T54" s="51"/>
      <c r="U54" s="51"/>
      <c r="V54" s="51"/>
      <c r="W54" s="51"/>
      <c r="X54" s="51"/>
      <c r="Y54" s="51"/>
      <c r="Z54" s="51"/>
      <c r="AA54" s="51"/>
      <c r="AB54" s="51"/>
      <c r="AC54" s="51"/>
      <c r="AD54" s="51"/>
      <c r="AE54" s="51"/>
      <c r="AF54" s="51"/>
      <c r="AG54" s="51"/>
      <c r="AH54" s="51"/>
      <c r="AI54" s="51"/>
      <c r="AJ54" s="65" t="s">
        <v>47</v>
      </c>
      <c r="AK54" s="65"/>
      <c r="AL54" s="65"/>
      <c r="AM54" s="182">
        <f>主要情况!R9</f>
        <v>0</v>
      </c>
      <c r="AN54" s="182"/>
      <c r="AO54" s="182"/>
      <c r="AP54" s="182"/>
      <c r="AQ54" s="182"/>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row>
    <row r="55" spans="1:97" ht="14.25" x14ac:dyDescent="0.1">
      <c r="A55" s="64" t="s">
        <v>48</v>
      </c>
      <c r="B55" s="64"/>
      <c r="C55" s="64" t="s">
        <v>37</v>
      </c>
      <c r="D55" s="64"/>
      <c r="E55" s="64"/>
      <c r="F55" s="64"/>
      <c r="G55" s="51"/>
      <c r="H55" s="51"/>
      <c r="I55" s="65"/>
      <c r="J55" s="65"/>
      <c r="K55" s="183"/>
      <c r="L55" s="184"/>
      <c r="M55" s="184"/>
      <c r="N55" s="184"/>
      <c r="O55" s="184"/>
      <c r="P55" s="184"/>
      <c r="Q55" s="51"/>
      <c r="R55" s="51"/>
      <c r="S55" s="51"/>
      <c r="T55" s="51"/>
      <c r="U55" s="51"/>
      <c r="V55" s="51"/>
      <c r="W55" s="51"/>
      <c r="X55" s="51"/>
      <c r="Y55" s="51"/>
      <c r="Z55" s="51"/>
      <c r="AA55" s="64" t="s">
        <v>48</v>
      </c>
      <c r="AB55" s="64"/>
      <c r="AC55" s="64" t="s">
        <v>37</v>
      </c>
      <c r="AD55" s="64"/>
      <c r="AE55" s="64"/>
      <c r="AF55" s="64"/>
      <c r="AG55" s="51"/>
      <c r="AH55" s="51"/>
      <c r="AI55" s="51"/>
      <c r="AJ55" s="65"/>
      <c r="AK55" s="65"/>
      <c r="AL55" s="65"/>
      <c r="AM55" s="182"/>
      <c r="AN55" s="182"/>
      <c r="AO55" s="182"/>
      <c r="AP55" s="182"/>
      <c r="AQ55" s="182"/>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row>
    <row r="56" spans="1:97" ht="14.25" x14ac:dyDescent="0.1">
      <c r="A56" s="131">
        <v>1</v>
      </c>
      <c r="B56" s="131"/>
      <c r="C56" s="65" t="s">
        <v>166</v>
      </c>
      <c r="D56" s="65"/>
      <c r="E56" s="65"/>
      <c r="F56" s="65"/>
      <c r="G56" s="98"/>
      <c r="H56" s="98"/>
      <c r="I56" s="98"/>
      <c r="J56" s="98"/>
      <c r="K56" s="98"/>
      <c r="L56" s="98"/>
      <c r="M56" s="98"/>
      <c r="N56" s="98"/>
      <c r="O56" s="98"/>
      <c r="P56" s="98"/>
      <c r="Q56" s="98"/>
      <c r="R56" s="98"/>
      <c r="S56" s="98"/>
      <c r="T56" s="98"/>
      <c r="U56" s="98"/>
      <c r="V56" s="98"/>
      <c r="W56" s="98"/>
      <c r="X56" s="98"/>
      <c r="Y56" s="98"/>
      <c r="Z56" s="51"/>
      <c r="AA56" s="131">
        <v>1</v>
      </c>
      <c r="AB56" s="131"/>
      <c r="AC56" s="65"/>
      <c r="AD56" s="65"/>
      <c r="AE56" s="65"/>
      <c r="AF56" s="65"/>
      <c r="AG56" s="98"/>
      <c r="AH56" s="98"/>
      <c r="AI56" s="98"/>
      <c r="AJ56" s="98"/>
      <c r="AK56" s="98"/>
      <c r="AL56" s="98"/>
      <c r="AM56" s="98"/>
      <c r="AN56" s="98"/>
      <c r="AO56" s="98"/>
      <c r="AP56" s="98"/>
      <c r="AQ56" s="98"/>
      <c r="AR56" s="98"/>
      <c r="AS56" s="98"/>
      <c r="AT56" s="98"/>
      <c r="AU56" s="98"/>
      <c r="AV56" s="98"/>
      <c r="AW56" s="98"/>
      <c r="AX56" s="98"/>
      <c r="AY56" s="98"/>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row>
    <row r="57" spans="1:97" ht="14.25" x14ac:dyDescent="0.1">
      <c r="A57" s="131">
        <v>2</v>
      </c>
      <c r="B57" s="131"/>
      <c r="C57" s="65"/>
      <c r="D57" s="65"/>
      <c r="E57" s="65"/>
      <c r="F57" s="65"/>
      <c r="G57" s="98"/>
      <c r="H57" s="98"/>
      <c r="I57" s="98"/>
      <c r="J57" s="98"/>
      <c r="K57" s="98"/>
      <c r="L57" s="98"/>
      <c r="M57" s="98"/>
      <c r="N57" s="98"/>
      <c r="O57" s="98"/>
      <c r="P57" s="98"/>
      <c r="Q57" s="98"/>
      <c r="R57" s="98"/>
      <c r="S57" s="98"/>
      <c r="T57" s="98"/>
      <c r="U57" s="98"/>
      <c r="V57" s="98"/>
      <c r="W57" s="98"/>
      <c r="X57" s="98"/>
      <c r="Y57" s="98"/>
      <c r="Z57" s="51"/>
      <c r="AA57" s="131"/>
      <c r="AB57" s="131"/>
      <c r="AC57" s="65"/>
      <c r="AD57" s="65"/>
      <c r="AE57" s="65"/>
      <c r="AF57" s="65"/>
      <c r="AG57" s="98"/>
      <c r="AH57" s="98"/>
      <c r="AI57" s="98"/>
      <c r="AJ57" s="98"/>
      <c r="AK57" s="98"/>
      <c r="AL57" s="98"/>
      <c r="AM57" s="98"/>
      <c r="AN57" s="98"/>
      <c r="AO57" s="98"/>
      <c r="AP57" s="98"/>
      <c r="AQ57" s="98"/>
      <c r="AR57" s="98"/>
      <c r="AS57" s="98"/>
      <c r="AT57" s="98"/>
      <c r="AU57" s="98"/>
      <c r="AV57" s="98"/>
      <c r="AW57" s="98"/>
      <c r="AX57" s="98"/>
      <c r="AY57" s="98"/>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row>
    <row r="58" spans="1:97" ht="14.25" x14ac:dyDescent="0.1">
      <c r="A58" s="131">
        <v>3</v>
      </c>
      <c r="B58" s="131"/>
      <c r="C58" s="65"/>
      <c r="D58" s="65"/>
      <c r="E58" s="65"/>
      <c r="F58" s="65"/>
      <c r="G58" s="98"/>
      <c r="H58" s="98"/>
      <c r="I58" s="98"/>
      <c r="J58" s="98"/>
      <c r="K58" s="98"/>
      <c r="L58" s="98"/>
      <c r="M58" s="98"/>
      <c r="N58" s="98"/>
      <c r="O58" s="98"/>
      <c r="P58" s="98"/>
      <c r="Q58" s="98"/>
      <c r="R58" s="98"/>
      <c r="S58" s="98"/>
      <c r="T58" s="98"/>
      <c r="U58" s="98"/>
      <c r="V58" s="98"/>
      <c r="W58" s="98"/>
      <c r="X58" s="98"/>
      <c r="Y58" s="98"/>
      <c r="Z58" s="51"/>
      <c r="AA58" s="131"/>
      <c r="AB58" s="131"/>
      <c r="AC58" s="65"/>
      <c r="AD58" s="65"/>
      <c r="AE58" s="65"/>
      <c r="AF58" s="65"/>
      <c r="AG58" s="98"/>
      <c r="AH58" s="98"/>
      <c r="AI58" s="98"/>
      <c r="AJ58" s="98"/>
      <c r="AK58" s="98"/>
      <c r="AL58" s="98"/>
      <c r="AM58" s="98"/>
      <c r="AN58" s="98"/>
      <c r="AO58" s="98"/>
      <c r="AP58" s="98"/>
      <c r="AQ58" s="98"/>
      <c r="AR58" s="98"/>
      <c r="AS58" s="98"/>
      <c r="AT58" s="98"/>
      <c r="AU58" s="98"/>
      <c r="AV58" s="98"/>
      <c r="AW58" s="98"/>
      <c r="AX58" s="98"/>
      <c r="AY58" s="98"/>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row>
    <row r="59" spans="1:97" ht="14.25" x14ac:dyDescent="0.1">
      <c r="A59" s="131">
        <v>4</v>
      </c>
      <c r="B59" s="131"/>
      <c r="C59" s="65"/>
      <c r="D59" s="65"/>
      <c r="E59" s="65"/>
      <c r="F59" s="65"/>
      <c r="G59" s="98"/>
      <c r="H59" s="98"/>
      <c r="I59" s="98"/>
      <c r="J59" s="98"/>
      <c r="K59" s="98"/>
      <c r="L59" s="98"/>
      <c r="M59" s="98"/>
      <c r="N59" s="98"/>
      <c r="O59" s="98"/>
      <c r="P59" s="98"/>
      <c r="Q59" s="98"/>
      <c r="R59" s="98"/>
      <c r="S59" s="98"/>
      <c r="T59" s="98"/>
      <c r="U59" s="98"/>
      <c r="V59" s="98"/>
      <c r="W59" s="98"/>
      <c r="X59" s="98"/>
      <c r="Y59" s="98"/>
      <c r="Z59" s="51"/>
      <c r="AA59" s="131"/>
      <c r="AB59" s="131"/>
      <c r="AC59" s="65"/>
      <c r="AD59" s="65"/>
      <c r="AE59" s="65"/>
      <c r="AF59" s="65"/>
      <c r="AG59" s="98"/>
      <c r="AH59" s="98"/>
      <c r="AI59" s="98"/>
      <c r="AJ59" s="98"/>
      <c r="AK59" s="98"/>
      <c r="AL59" s="98"/>
      <c r="AM59" s="98"/>
      <c r="AN59" s="98"/>
      <c r="AO59" s="98"/>
      <c r="AP59" s="98"/>
      <c r="AQ59" s="98"/>
      <c r="AR59" s="98"/>
      <c r="AS59" s="98"/>
      <c r="AT59" s="98"/>
      <c r="AU59" s="98"/>
      <c r="AV59" s="98"/>
      <c r="AW59" s="98"/>
      <c r="AX59" s="98"/>
      <c r="AY59" s="98"/>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row>
    <row r="60" spans="1:97" ht="14.25" x14ac:dyDescent="0.1">
      <c r="A60" s="131">
        <v>5</v>
      </c>
      <c r="B60" s="131"/>
      <c r="C60" s="65"/>
      <c r="D60" s="65"/>
      <c r="E60" s="65"/>
      <c r="F60" s="65"/>
      <c r="G60" s="98"/>
      <c r="H60" s="98"/>
      <c r="I60" s="98"/>
      <c r="J60" s="98"/>
      <c r="K60" s="98"/>
      <c r="L60" s="98"/>
      <c r="M60" s="98"/>
      <c r="N60" s="98"/>
      <c r="O60" s="98"/>
      <c r="P60" s="98"/>
      <c r="Q60" s="98"/>
      <c r="R60" s="98"/>
      <c r="S60" s="98"/>
      <c r="T60" s="98"/>
      <c r="U60" s="98"/>
      <c r="V60" s="98"/>
      <c r="W60" s="98"/>
      <c r="X60" s="98"/>
      <c r="Y60" s="98"/>
      <c r="Z60" s="51"/>
      <c r="AA60" s="131"/>
      <c r="AB60" s="131"/>
      <c r="AC60" s="65"/>
      <c r="AD60" s="65"/>
      <c r="AE60" s="65"/>
      <c r="AF60" s="65"/>
      <c r="AG60" s="98"/>
      <c r="AH60" s="98"/>
      <c r="AI60" s="98"/>
      <c r="AJ60" s="98"/>
      <c r="AK60" s="98"/>
      <c r="AL60" s="98"/>
      <c r="AM60" s="98"/>
      <c r="AN60" s="98"/>
      <c r="AO60" s="98"/>
      <c r="AP60" s="98"/>
      <c r="AQ60" s="98"/>
      <c r="AR60" s="98"/>
      <c r="AS60" s="98"/>
      <c r="AT60" s="98"/>
      <c r="AU60" s="98"/>
      <c r="AV60" s="98"/>
      <c r="AW60" s="98"/>
      <c r="AX60" s="98"/>
      <c r="AY60" s="98"/>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row>
    <row r="61" spans="1:97" ht="14.25" x14ac:dyDescent="0.1">
      <c r="A61" s="131">
        <v>6</v>
      </c>
      <c r="B61" s="131"/>
      <c r="C61" s="65"/>
      <c r="D61" s="65"/>
      <c r="E61" s="65"/>
      <c r="F61" s="65"/>
      <c r="G61" s="98"/>
      <c r="H61" s="98"/>
      <c r="I61" s="98"/>
      <c r="J61" s="98"/>
      <c r="K61" s="98"/>
      <c r="L61" s="98"/>
      <c r="M61" s="98"/>
      <c r="N61" s="98"/>
      <c r="O61" s="98"/>
      <c r="P61" s="98"/>
      <c r="Q61" s="98"/>
      <c r="R61" s="98"/>
      <c r="S61" s="98"/>
      <c r="T61" s="98"/>
      <c r="U61" s="98"/>
      <c r="V61" s="98"/>
      <c r="W61" s="98"/>
      <c r="X61" s="98"/>
      <c r="Y61" s="98"/>
      <c r="Z61" s="51"/>
      <c r="AA61" s="131"/>
      <c r="AB61" s="131"/>
      <c r="AC61" s="65"/>
      <c r="AD61" s="65"/>
      <c r="AE61" s="65"/>
      <c r="AF61" s="65"/>
      <c r="AG61" s="98"/>
      <c r="AH61" s="98"/>
      <c r="AI61" s="98"/>
      <c r="AJ61" s="98"/>
      <c r="AK61" s="98"/>
      <c r="AL61" s="98"/>
      <c r="AM61" s="98"/>
      <c r="AN61" s="98"/>
      <c r="AO61" s="98"/>
      <c r="AP61" s="98"/>
      <c r="AQ61" s="98"/>
      <c r="AR61" s="98"/>
      <c r="AS61" s="98"/>
      <c r="AT61" s="98"/>
      <c r="AU61" s="98"/>
      <c r="AV61" s="98"/>
      <c r="AW61" s="98"/>
      <c r="AX61" s="98"/>
      <c r="AY61" s="98"/>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row>
    <row r="62" spans="1:97" ht="14.25" x14ac:dyDescent="0.1">
      <c r="A62" s="131">
        <v>7</v>
      </c>
      <c r="B62" s="131"/>
      <c r="C62" s="65"/>
      <c r="D62" s="65"/>
      <c r="E62" s="65"/>
      <c r="F62" s="65"/>
      <c r="G62" s="98"/>
      <c r="H62" s="98"/>
      <c r="I62" s="98"/>
      <c r="J62" s="98"/>
      <c r="K62" s="98"/>
      <c r="L62" s="98"/>
      <c r="M62" s="98"/>
      <c r="N62" s="98"/>
      <c r="O62" s="98"/>
      <c r="P62" s="98"/>
      <c r="Q62" s="98"/>
      <c r="R62" s="98"/>
      <c r="S62" s="98"/>
      <c r="T62" s="98"/>
      <c r="U62" s="98"/>
      <c r="V62" s="98"/>
      <c r="W62" s="98"/>
      <c r="X62" s="98"/>
      <c r="Y62" s="98"/>
      <c r="Z62" s="51"/>
      <c r="AA62" s="131"/>
      <c r="AB62" s="131"/>
      <c r="AC62" s="65"/>
      <c r="AD62" s="65"/>
      <c r="AE62" s="65"/>
      <c r="AF62" s="65"/>
      <c r="AG62" s="98"/>
      <c r="AH62" s="98"/>
      <c r="AI62" s="98"/>
      <c r="AJ62" s="98"/>
      <c r="AK62" s="98"/>
      <c r="AL62" s="98"/>
      <c r="AM62" s="98"/>
      <c r="AN62" s="98"/>
      <c r="AO62" s="98"/>
      <c r="AP62" s="98"/>
      <c r="AQ62" s="98"/>
      <c r="AR62" s="98"/>
      <c r="AS62" s="98"/>
      <c r="AT62" s="98"/>
      <c r="AU62" s="98"/>
      <c r="AV62" s="98"/>
      <c r="AW62" s="98"/>
      <c r="AX62" s="98"/>
      <c r="AY62" s="98"/>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row>
    <row r="63" spans="1:97" ht="14.25" x14ac:dyDescent="0.1">
      <c r="A63" s="131">
        <v>8</v>
      </c>
      <c r="B63" s="131"/>
      <c r="C63" s="65"/>
      <c r="D63" s="65"/>
      <c r="E63" s="65"/>
      <c r="F63" s="65"/>
      <c r="G63" s="98"/>
      <c r="H63" s="98"/>
      <c r="I63" s="98"/>
      <c r="J63" s="98"/>
      <c r="K63" s="98"/>
      <c r="L63" s="98"/>
      <c r="M63" s="98"/>
      <c r="N63" s="98"/>
      <c r="O63" s="98"/>
      <c r="P63" s="98"/>
      <c r="Q63" s="98"/>
      <c r="R63" s="98"/>
      <c r="S63" s="98"/>
      <c r="T63" s="98"/>
      <c r="U63" s="98"/>
      <c r="V63" s="98"/>
      <c r="W63" s="98"/>
      <c r="X63" s="98"/>
      <c r="Y63" s="98"/>
      <c r="Z63" s="51"/>
      <c r="AA63" s="131"/>
      <c r="AB63" s="131"/>
      <c r="AC63" s="65"/>
      <c r="AD63" s="65"/>
      <c r="AE63" s="65"/>
      <c r="AF63" s="65"/>
      <c r="AG63" s="98"/>
      <c r="AH63" s="98"/>
      <c r="AI63" s="98"/>
      <c r="AJ63" s="98"/>
      <c r="AK63" s="98"/>
      <c r="AL63" s="98"/>
      <c r="AM63" s="98"/>
      <c r="AN63" s="98"/>
      <c r="AO63" s="98"/>
      <c r="AP63" s="98"/>
      <c r="AQ63" s="98"/>
      <c r="AR63" s="98"/>
      <c r="AS63" s="98"/>
      <c r="AT63" s="98"/>
      <c r="AU63" s="98"/>
      <c r="AV63" s="98"/>
      <c r="AW63" s="98"/>
      <c r="AX63" s="98"/>
      <c r="AY63" s="98"/>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row>
    <row r="64" spans="1:97" ht="14.25" x14ac:dyDescent="0.1">
      <c r="A64" s="131">
        <v>9</v>
      </c>
      <c r="B64" s="131"/>
      <c r="C64" s="65"/>
      <c r="D64" s="65"/>
      <c r="E64" s="65"/>
      <c r="F64" s="65"/>
      <c r="G64" s="98"/>
      <c r="H64" s="98"/>
      <c r="I64" s="98"/>
      <c r="J64" s="98"/>
      <c r="K64" s="98"/>
      <c r="L64" s="98"/>
      <c r="M64" s="98"/>
      <c r="N64" s="98"/>
      <c r="O64" s="98"/>
      <c r="P64" s="98"/>
      <c r="Q64" s="98"/>
      <c r="R64" s="98"/>
      <c r="S64" s="98"/>
      <c r="T64" s="98"/>
      <c r="U64" s="98"/>
      <c r="V64" s="98"/>
      <c r="W64" s="98"/>
      <c r="X64" s="98"/>
      <c r="Y64" s="98"/>
      <c r="Z64" s="51"/>
      <c r="AA64" s="51"/>
      <c r="AB64" s="51"/>
      <c r="AC64" s="51"/>
      <c r="AD64" s="51"/>
      <c r="AE64" s="51"/>
      <c r="AF64" s="51"/>
      <c r="AG64" s="51"/>
      <c r="AH64" s="51"/>
      <c r="AI64" s="51"/>
      <c r="AJ64" s="65" t="s">
        <v>164</v>
      </c>
      <c r="AK64" s="65"/>
      <c r="AL64" s="65"/>
      <c r="AM64" s="185" t="s">
        <v>168</v>
      </c>
      <c r="AN64" s="185"/>
      <c r="AO64" s="185"/>
      <c r="AP64" s="185"/>
      <c r="AQ64" s="185"/>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row>
    <row r="65" spans="1:97" ht="14.25" x14ac:dyDescent="0.1">
      <c r="A65" s="131">
        <v>10</v>
      </c>
      <c r="B65" s="131"/>
      <c r="C65" s="65"/>
      <c r="D65" s="65"/>
      <c r="E65" s="65"/>
      <c r="F65" s="65"/>
      <c r="G65" s="98"/>
      <c r="H65" s="98"/>
      <c r="I65" s="98"/>
      <c r="J65" s="98"/>
      <c r="K65" s="98"/>
      <c r="L65" s="98"/>
      <c r="M65" s="98"/>
      <c r="N65" s="98"/>
      <c r="O65" s="98"/>
      <c r="P65" s="98"/>
      <c r="Q65" s="98"/>
      <c r="R65" s="98"/>
      <c r="S65" s="98"/>
      <c r="T65" s="98"/>
      <c r="U65" s="98"/>
      <c r="V65" s="98"/>
      <c r="W65" s="98"/>
      <c r="X65" s="98"/>
      <c r="Y65" s="98"/>
      <c r="Z65" s="51"/>
      <c r="AA65" s="64" t="s">
        <v>48</v>
      </c>
      <c r="AB65" s="64"/>
      <c r="AC65" s="64" t="s">
        <v>37</v>
      </c>
      <c r="AD65" s="64"/>
      <c r="AE65" s="64"/>
      <c r="AF65" s="64"/>
      <c r="AG65" s="51"/>
      <c r="AH65" s="51"/>
      <c r="AI65" s="51"/>
      <c r="AJ65" s="65"/>
      <c r="AK65" s="65"/>
      <c r="AL65" s="65"/>
      <c r="AM65" s="185"/>
      <c r="AN65" s="185"/>
      <c r="AO65" s="185"/>
      <c r="AP65" s="185"/>
      <c r="AQ65" s="185"/>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row>
    <row r="66" spans="1:97" ht="14.25" x14ac:dyDescent="0.1">
      <c r="A66" s="131">
        <v>11</v>
      </c>
      <c r="B66" s="131"/>
      <c r="C66" s="65"/>
      <c r="D66" s="65"/>
      <c r="E66" s="65"/>
      <c r="F66" s="65"/>
      <c r="G66" s="98"/>
      <c r="H66" s="98"/>
      <c r="I66" s="98"/>
      <c r="J66" s="98"/>
      <c r="K66" s="98"/>
      <c r="L66" s="98"/>
      <c r="M66" s="98"/>
      <c r="N66" s="98"/>
      <c r="O66" s="98"/>
      <c r="P66" s="98"/>
      <c r="Q66" s="98"/>
      <c r="R66" s="98"/>
      <c r="S66" s="98"/>
      <c r="T66" s="98"/>
      <c r="U66" s="98"/>
      <c r="V66" s="98"/>
      <c r="W66" s="98"/>
      <c r="X66" s="98"/>
      <c r="Y66" s="98"/>
      <c r="Z66" s="51"/>
      <c r="AA66" s="131"/>
      <c r="AB66" s="131"/>
      <c r="AC66" s="65"/>
      <c r="AD66" s="65"/>
      <c r="AE66" s="65"/>
      <c r="AF66" s="65"/>
      <c r="AG66" s="98"/>
      <c r="AH66" s="98"/>
      <c r="AI66" s="98"/>
      <c r="AJ66" s="98"/>
      <c r="AK66" s="98"/>
      <c r="AL66" s="98"/>
      <c r="AM66" s="98"/>
      <c r="AN66" s="98"/>
      <c r="AO66" s="98"/>
      <c r="AP66" s="98"/>
      <c r="AQ66" s="98"/>
      <c r="AR66" s="98"/>
      <c r="AS66" s="98"/>
      <c r="AT66" s="98"/>
      <c r="AU66" s="98"/>
      <c r="AV66" s="98"/>
      <c r="AW66" s="98"/>
      <c r="AX66" s="98"/>
      <c r="AY66" s="98"/>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row>
    <row r="67" spans="1:97" ht="14.25" x14ac:dyDescent="0.1">
      <c r="A67" s="131">
        <v>12</v>
      </c>
      <c r="B67" s="131"/>
      <c r="C67" s="65"/>
      <c r="D67" s="65"/>
      <c r="E67" s="65"/>
      <c r="F67" s="65"/>
      <c r="G67" s="98"/>
      <c r="H67" s="98"/>
      <c r="I67" s="98"/>
      <c r="J67" s="98"/>
      <c r="K67" s="98"/>
      <c r="L67" s="98"/>
      <c r="M67" s="98"/>
      <c r="N67" s="98"/>
      <c r="O67" s="98"/>
      <c r="P67" s="98"/>
      <c r="Q67" s="98"/>
      <c r="R67" s="98"/>
      <c r="S67" s="98"/>
      <c r="T67" s="98"/>
      <c r="U67" s="98"/>
      <c r="V67" s="98"/>
      <c r="W67" s="98"/>
      <c r="X67" s="98"/>
      <c r="Y67" s="98"/>
      <c r="Z67" s="51"/>
      <c r="AA67" s="131"/>
      <c r="AB67" s="131"/>
      <c r="AC67" s="65"/>
      <c r="AD67" s="65"/>
      <c r="AE67" s="65"/>
      <c r="AF67" s="65"/>
      <c r="AG67" s="98"/>
      <c r="AH67" s="98"/>
      <c r="AI67" s="98"/>
      <c r="AJ67" s="98"/>
      <c r="AK67" s="98"/>
      <c r="AL67" s="98"/>
      <c r="AM67" s="98"/>
      <c r="AN67" s="98"/>
      <c r="AO67" s="98"/>
      <c r="AP67" s="98"/>
      <c r="AQ67" s="98"/>
      <c r="AR67" s="98"/>
      <c r="AS67" s="98"/>
      <c r="AT67" s="98"/>
      <c r="AU67" s="98"/>
      <c r="AV67" s="98"/>
      <c r="AW67" s="98"/>
      <c r="AX67" s="98"/>
      <c r="AY67" s="98"/>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row>
    <row r="68" spans="1:97" ht="14.25" x14ac:dyDescent="0.1">
      <c r="A68" s="131">
        <v>13</v>
      </c>
      <c r="B68" s="131"/>
      <c r="C68" s="65"/>
      <c r="D68" s="65"/>
      <c r="E68" s="65"/>
      <c r="F68" s="65"/>
      <c r="G68" s="98"/>
      <c r="H68" s="98"/>
      <c r="I68" s="98"/>
      <c r="J68" s="98"/>
      <c r="K68" s="98"/>
      <c r="L68" s="98"/>
      <c r="M68" s="98"/>
      <c r="N68" s="98"/>
      <c r="O68" s="98"/>
      <c r="P68" s="98"/>
      <c r="Q68" s="98"/>
      <c r="R68" s="98"/>
      <c r="S68" s="98"/>
      <c r="T68" s="98"/>
      <c r="U68" s="98"/>
      <c r="V68" s="98"/>
      <c r="W68" s="98"/>
      <c r="X68" s="98"/>
      <c r="Y68" s="98"/>
      <c r="Z68" s="51"/>
      <c r="AA68" s="131"/>
      <c r="AB68" s="131"/>
      <c r="AC68" s="65"/>
      <c r="AD68" s="65"/>
      <c r="AE68" s="65"/>
      <c r="AF68" s="65"/>
      <c r="AG68" s="98"/>
      <c r="AH68" s="98"/>
      <c r="AI68" s="98"/>
      <c r="AJ68" s="98"/>
      <c r="AK68" s="98"/>
      <c r="AL68" s="98"/>
      <c r="AM68" s="98"/>
      <c r="AN68" s="98"/>
      <c r="AO68" s="98"/>
      <c r="AP68" s="98"/>
      <c r="AQ68" s="98"/>
      <c r="AR68" s="98"/>
      <c r="AS68" s="98"/>
      <c r="AT68" s="98"/>
      <c r="AU68" s="98"/>
      <c r="AV68" s="98"/>
      <c r="AW68" s="98"/>
      <c r="AX68" s="98"/>
      <c r="AY68" s="98"/>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row>
    <row r="69" spans="1:97" ht="14.25" x14ac:dyDescent="0.1">
      <c r="A69" s="131">
        <v>14</v>
      </c>
      <c r="B69" s="131"/>
      <c r="C69" s="65"/>
      <c r="D69" s="65"/>
      <c r="E69" s="65"/>
      <c r="F69" s="65"/>
      <c r="G69" s="98"/>
      <c r="H69" s="98"/>
      <c r="I69" s="98"/>
      <c r="J69" s="98"/>
      <c r="K69" s="98"/>
      <c r="L69" s="98"/>
      <c r="M69" s="98"/>
      <c r="N69" s="98"/>
      <c r="O69" s="98"/>
      <c r="P69" s="98"/>
      <c r="Q69" s="98"/>
      <c r="R69" s="98"/>
      <c r="S69" s="98"/>
      <c r="T69" s="98"/>
      <c r="U69" s="98"/>
      <c r="V69" s="98"/>
      <c r="W69" s="98"/>
      <c r="X69" s="98"/>
      <c r="Y69" s="98"/>
      <c r="Z69" s="51"/>
      <c r="AA69" s="131"/>
      <c r="AB69" s="131"/>
      <c r="AC69" s="65"/>
      <c r="AD69" s="65"/>
      <c r="AE69" s="65"/>
      <c r="AF69" s="65"/>
      <c r="AG69" s="98"/>
      <c r="AH69" s="98"/>
      <c r="AI69" s="98"/>
      <c r="AJ69" s="98"/>
      <c r="AK69" s="98"/>
      <c r="AL69" s="98"/>
      <c r="AM69" s="98"/>
      <c r="AN69" s="98"/>
      <c r="AO69" s="98"/>
      <c r="AP69" s="98"/>
      <c r="AQ69" s="98"/>
      <c r="AR69" s="98"/>
      <c r="AS69" s="98"/>
      <c r="AT69" s="98"/>
      <c r="AU69" s="98"/>
      <c r="AV69" s="98"/>
      <c r="AW69" s="98"/>
      <c r="AX69" s="98"/>
      <c r="AY69" s="98"/>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row>
    <row r="70" spans="1:97" ht="14.25" x14ac:dyDescent="0.1">
      <c r="A70" s="131">
        <v>15</v>
      </c>
      <c r="B70" s="131"/>
      <c r="C70" s="65"/>
      <c r="D70" s="65"/>
      <c r="E70" s="65"/>
      <c r="F70" s="65"/>
      <c r="G70" s="98"/>
      <c r="H70" s="98"/>
      <c r="I70" s="98"/>
      <c r="J70" s="98"/>
      <c r="K70" s="98"/>
      <c r="L70" s="98"/>
      <c r="M70" s="98"/>
      <c r="N70" s="98"/>
      <c r="O70" s="98"/>
      <c r="P70" s="98"/>
      <c r="Q70" s="98"/>
      <c r="R70" s="98"/>
      <c r="S70" s="98"/>
      <c r="T70" s="98"/>
      <c r="U70" s="98"/>
      <c r="V70" s="98"/>
      <c r="W70" s="98"/>
      <c r="X70" s="98"/>
      <c r="Y70" s="98"/>
      <c r="Z70" s="51"/>
      <c r="AA70" s="131"/>
      <c r="AB70" s="131"/>
      <c r="AC70" s="65"/>
      <c r="AD70" s="65"/>
      <c r="AE70" s="65"/>
      <c r="AF70" s="65"/>
      <c r="AG70" s="98"/>
      <c r="AH70" s="98"/>
      <c r="AI70" s="98"/>
      <c r="AJ70" s="98"/>
      <c r="AK70" s="98"/>
      <c r="AL70" s="98"/>
      <c r="AM70" s="98"/>
      <c r="AN70" s="98"/>
      <c r="AO70" s="98"/>
      <c r="AP70" s="98"/>
      <c r="AQ70" s="98"/>
      <c r="AR70" s="98"/>
      <c r="AS70" s="98"/>
      <c r="AT70" s="98"/>
      <c r="AU70" s="98"/>
      <c r="AV70" s="98"/>
      <c r="AW70" s="98"/>
      <c r="AX70" s="98"/>
      <c r="AY70" s="98"/>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row>
    <row r="71" spans="1:97" ht="14.25" x14ac:dyDescent="0.1">
      <c r="A71" s="131">
        <v>16</v>
      </c>
      <c r="B71" s="131"/>
      <c r="C71" s="65"/>
      <c r="D71" s="65"/>
      <c r="E71" s="65"/>
      <c r="F71" s="65"/>
      <c r="G71" s="98"/>
      <c r="H71" s="98"/>
      <c r="I71" s="98"/>
      <c r="J71" s="98"/>
      <c r="K71" s="98"/>
      <c r="L71" s="98"/>
      <c r="M71" s="98"/>
      <c r="N71" s="98"/>
      <c r="O71" s="98"/>
      <c r="P71" s="98"/>
      <c r="Q71" s="98"/>
      <c r="R71" s="98"/>
      <c r="S71" s="98"/>
      <c r="T71" s="98"/>
      <c r="U71" s="98"/>
      <c r="V71" s="98"/>
      <c r="W71" s="98"/>
      <c r="X71" s="98"/>
      <c r="Y71" s="98"/>
      <c r="Z71" s="51"/>
      <c r="AA71" s="131"/>
      <c r="AB71" s="131"/>
      <c r="AC71" s="65"/>
      <c r="AD71" s="65"/>
      <c r="AE71" s="65"/>
      <c r="AF71" s="65"/>
      <c r="AG71" s="98"/>
      <c r="AH71" s="98"/>
      <c r="AI71" s="98"/>
      <c r="AJ71" s="98"/>
      <c r="AK71" s="98"/>
      <c r="AL71" s="98"/>
      <c r="AM71" s="98"/>
      <c r="AN71" s="98"/>
      <c r="AO71" s="98"/>
      <c r="AP71" s="98"/>
      <c r="AQ71" s="98"/>
      <c r="AR71" s="98"/>
      <c r="AS71" s="98"/>
      <c r="AT71" s="98"/>
      <c r="AU71" s="98"/>
      <c r="AV71" s="98"/>
      <c r="AW71" s="98"/>
      <c r="AX71" s="98"/>
      <c r="AY71" s="98"/>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row>
    <row r="72" spans="1:97" ht="14.25" x14ac:dyDescent="0.1">
      <c r="A72" s="131">
        <v>17</v>
      </c>
      <c r="B72" s="131"/>
      <c r="C72" s="65"/>
      <c r="D72" s="65"/>
      <c r="E72" s="65"/>
      <c r="F72" s="65"/>
      <c r="G72" s="98"/>
      <c r="H72" s="98"/>
      <c r="I72" s="98"/>
      <c r="J72" s="98"/>
      <c r="K72" s="98"/>
      <c r="L72" s="98"/>
      <c r="M72" s="98"/>
      <c r="N72" s="98"/>
      <c r="O72" s="98"/>
      <c r="P72" s="98"/>
      <c r="Q72" s="98"/>
      <c r="R72" s="98"/>
      <c r="S72" s="98"/>
      <c r="T72" s="98"/>
      <c r="U72" s="98"/>
      <c r="V72" s="98"/>
      <c r="W72" s="98"/>
      <c r="X72" s="98"/>
      <c r="Y72" s="98"/>
      <c r="Z72" s="51"/>
      <c r="AA72" s="131"/>
      <c r="AB72" s="131"/>
      <c r="AC72" s="65"/>
      <c r="AD72" s="65"/>
      <c r="AE72" s="65"/>
      <c r="AF72" s="65"/>
      <c r="AG72" s="98"/>
      <c r="AH72" s="98"/>
      <c r="AI72" s="98"/>
      <c r="AJ72" s="98"/>
      <c r="AK72" s="98"/>
      <c r="AL72" s="98"/>
      <c r="AM72" s="98"/>
      <c r="AN72" s="98"/>
      <c r="AO72" s="98"/>
      <c r="AP72" s="98"/>
      <c r="AQ72" s="98"/>
      <c r="AR72" s="98"/>
      <c r="AS72" s="98"/>
      <c r="AT72" s="98"/>
      <c r="AU72" s="98"/>
      <c r="AV72" s="98"/>
      <c r="AW72" s="98"/>
      <c r="AX72" s="98"/>
      <c r="AY72" s="98"/>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row>
    <row r="73" spans="1:97" ht="14.25" x14ac:dyDescent="0.1">
      <c r="A73" s="131">
        <v>18</v>
      </c>
      <c r="B73" s="131"/>
      <c r="C73" s="65"/>
      <c r="D73" s="65"/>
      <c r="E73" s="65"/>
      <c r="F73" s="65"/>
      <c r="G73" s="98"/>
      <c r="H73" s="98"/>
      <c r="I73" s="98"/>
      <c r="J73" s="98"/>
      <c r="K73" s="98"/>
      <c r="L73" s="98"/>
      <c r="M73" s="98"/>
      <c r="N73" s="98"/>
      <c r="O73" s="98"/>
      <c r="P73" s="98"/>
      <c r="Q73" s="98"/>
      <c r="R73" s="98"/>
      <c r="S73" s="98"/>
      <c r="T73" s="98"/>
      <c r="U73" s="98"/>
      <c r="V73" s="98"/>
      <c r="W73" s="98"/>
      <c r="X73" s="98"/>
      <c r="Y73" s="98"/>
      <c r="Z73" s="51"/>
      <c r="AA73" s="131"/>
      <c r="AB73" s="131"/>
      <c r="AC73" s="65"/>
      <c r="AD73" s="65"/>
      <c r="AE73" s="65"/>
      <c r="AF73" s="65"/>
      <c r="AG73" s="98"/>
      <c r="AH73" s="98"/>
      <c r="AI73" s="98"/>
      <c r="AJ73" s="98"/>
      <c r="AK73" s="98"/>
      <c r="AL73" s="98"/>
      <c r="AM73" s="98"/>
      <c r="AN73" s="98"/>
      <c r="AO73" s="98"/>
      <c r="AP73" s="98"/>
      <c r="AQ73" s="98"/>
      <c r="AR73" s="98"/>
      <c r="AS73" s="98"/>
      <c r="AT73" s="98"/>
      <c r="AU73" s="98"/>
      <c r="AV73" s="98"/>
      <c r="AW73" s="98"/>
      <c r="AX73" s="98"/>
      <c r="AY73" s="98"/>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row>
    <row r="74" spans="1:97" ht="14.25" x14ac:dyDescent="0.1">
      <c r="A74" s="131">
        <v>19</v>
      </c>
      <c r="B74" s="131"/>
      <c r="C74" s="65"/>
      <c r="D74" s="65"/>
      <c r="E74" s="65"/>
      <c r="F74" s="65"/>
      <c r="G74" s="98"/>
      <c r="H74" s="98"/>
      <c r="I74" s="98"/>
      <c r="J74" s="98"/>
      <c r="K74" s="98"/>
      <c r="L74" s="98"/>
      <c r="M74" s="98"/>
      <c r="N74" s="98"/>
      <c r="O74" s="98"/>
      <c r="P74" s="98"/>
      <c r="Q74" s="98"/>
      <c r="R74" s="98"/>
      <c r="S74" s="98"/>
      <c r="T74" s="98"/>
      <c r="U74" s="98"/>
      <c r="V74" s="98"/>
      <c r="W74" s="98"/>
      <c r="X74" s="98"/>
      <c r="Y74" s="98"/>
      <c r="Z74" s="51"/>
      <c r="AA74" s="131"/>
      <c r="AB74" s="131"/>
      <c r="AC74" s="65"/>
      <c r="AD74" s="65"/>
      <c r="AE74" s="65"/>
      <c r="AF74" s="65"/>
      <c r="AG74" s="98"/>
      <c r="AH74" s="98"/>
      <c r="AI74" s="98"/>
      <c r="AJ74" s="98"/>
      <c r="AK74" s="98"/>
      <c r="AL74" s="98"/>
      <c r="AM74" s="98"/>
      <c r="AN74" s="98"/>
      <c r="AO74" s="98"/>
      <c r="AP74" s="98"/>
      <c r="AQ74" s="98"/>
      <c r="AR74" s="98"/>
      <c r="AS74" s="98"/>
      <c r="AT74" s="98"/>
      <c r="AU74" s="98"/>
      <c r="AV74" s="98"/>
      <c r="AW74" s="98"/>
      <c r="AX74" s="98"/>
      <c r="AY74" s="98"/>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row>
    <row r="75" spans="1:97" ht="14.25" x14ac:dyDescent="0.1">
      <c r="A75" s="131">
        <v>20</v>
      </c>
      <c r="B75" s="131"/>
      <c r="C75" s="65"/>
      <c r="D75" s="65"/>
      <c r="E75" s="65"/>
      <c r="F75" s="65"/>
      <c r="G75" s="98"/>
      <c r="H75" s="98"/>
      <c r="I75" s="98"/>
      <c r="J75" s="98"/>
      <c r="K75" s="98"/>
      <c r="L75" s="98"/>
      <c r="M75" s="98"/>
      <c r="N75" s="98"/>
      <c r="O75" s="98"/>
      <c r="P75" s="98"/>
      <c r="Q75" s="98"/>
      <c r="R75" s="98"/>
      <c r="S75" s="98"/>
      <c r="T75" s="98"/>
      <c r="U75" s="98"/>
      <c r="V75" s="98"/>
      <c r="W75" s="98"/>
      <c r="X75" s="98"/>
      <c r="Y75" s="98"/>
      <c r="Z75" s="51"/>
      <c r="AA75" s="131"/>
      <c r="AB75" s="131"/>
      <c r="AC75" s="65"/>
      <c r="AD75" s="65"/>
      <c r="AE75" s="65"/>
      <c r="AF75" s="65"/>
      <c r="AG75" s="98"/>
      <c r="AH75" s="98"/>
      <c r="AI75" s="98"/>
      <c r="AJ75" s="98"/>
      <c r="AK75" s="98"/>
      <c r="AL75" s="98"/>
      <c r="AM75" s="98"/>
      <c r="AN75" s="98"/>
      <c r="AO75" s="98"/>
      <c r="AP75" s="98"/>
      <c r="AQ75" s="98"/>
      <c r="AR75" s="98"/>
      <c r="AS75" s="98"/>
      <c r="AT75" s="98"/>
      <c r="AU75" s="98"/>
      <c r="AV75" s="98"/>
      <c r="AW75" s="98"/>
      <c r="AX75" s="98"/>
      <c r="AY75" s="98"/>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row>
    <row r="76" spans="1:97" ht="14.25" x14ac:dyDescent="0.1">
      <c r="A76" s="131"/>
      <c r="B76" s="131"/>
      <c r="C76" s="65"/>
      <c r="D76" s="65"/>
      <c r="E76" s="65"/>
      <c r="F76" s="65"/>
      <c r="G76" s="98"/>
      <c r="H76" s="98"/>
      <c r="I76" s="98"/>
      <c r="J76" s="98"/>
      <c r="K76" s="98"/>
      <c r="L76" s="98"/>
      <c r="M76" s="98"/>
      <c r="N76" s="98"/>
      <c r="O76" s="98"/>
      <c r="P76" s="98"/>
      <c r="Q76" s="98"/>
      <c r="R76" s="98"/>
      <c r="S76" s="98"/>
      <c r="T76" s="98"/>
      <c r="U76" s="98"/>
      <c r="V76" s="98"/>
      <c r="W76" s="98"/>
      <c r="X76" s="98"/>
      <c r="Y76" s="98"/>
      <c r="Z76" s="51"/>
      <c r="AA76" s="131"/>
      <c r="AB76" s="131"/>
      <c r="AC76" s="65"/>
      <c r="AD76" s="65"/>
      <c r="AE76" s="65"/>
      <c r="AF76" s="65"/>
      <c r="AG76" s="98"/>
      <c r="AH76" s="98"/>
      <c r="AI76" s="98"/>
      <c r="AJ76" s="98"/>
      <c r="AK76" s="98"/>
      <c r="AL76" s="98"/>
      <c r="AM76" s="98"/>
      <c r="AN76" s="98"/>
      <c r="AO76" s="98"/>
      <c r="AP76" s="98"/>
      <c r="AQ76" s="98"/>
      <c r="AR76" s="98"/>
      <c r="AS76" s="98"/>
      <c r="AT76" s="98"/>
      <c r="AU76" s="98"/>
      <c r="AV76" s="98"/>
      <c r="AW76" s="98"/>
      <c r="AX76" s="98"/>
      <c r="AY76" s="98"/>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row>
    <row r="77" spans="1:97" ht="14.25" x14ac:dyDescent="0.1">
      <c r="A77" s="131"/>
      <c r="B77" s="131"/>
      <c r="C77" s="65"/>
      <c r="D77" s="65"/>
      <c r="E77" s="65"/>
      <c r="F77" s="65"/>
      <c r="G77" s="98"/>
      <c r="H77" s="98"/>
      <c r="I77" s="98"/>
      <c r="J77" s="98"/>
      <c r="K77" s="98"/>
      <c r="L77" s="98"/>
      <c r="M77" s="98"/>
      <c r="N77" s="98"/>
      <c r="O77" s="98"/>
      <c r="P77" s="98"/>
      <c r="Q77" s="98"/>
      <c r="R77" s="98"/>
      <c r="S77" s="98"/>
      <c r="T77" s="98"/>
      <c r="U77" s="98"/>
      <c r="V77" s="98"/>
      <c r="W77" s="98"/>
      <c r="X77" s="98"/>
      <c r="Y77" s="98"/>
      <c r="Z77" s="51"/>
      <c r="AA77" s="131"/>
      <c r="AB77" s="131"/>
      <c r="AC77" s="65"/>
      <c r="AD77" s="65"/>
      <c r="AE77" s="65"/>
      <c r="AF77" s="65"/>
      <c r="AG77" s="98"/>
      <c r="AH77" s="98"/>
      <c r="AI77" s="98"/>
      <c r="AJ77" s="98"/>
      <c r="AK77" s="98"/>
      <c r="AL77" s="98"/>
      <c r="AM77" s="98"/>
      <c r="AN77" s="98"/>
      <c r="AO77" s="98"/>
      <c r="AP77" s="98"/>
      <c r="AQ77" s="98"/>
      <c r="AR77" s="98"/>
      <c r="AS77" s="98"/>
      <c r="AT77" s="98"/>
      <c r="AU77" s="98"/>
      <c r="AV77" s="98"/>
      <c r="AW77" s="98"/>
      <c r="AX77" s="98"/>
      <c r="AY77" s="98"/>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row>
    <row r="78" spans="1:97" ht="14.25" x14ac:dyDescent="0.1">
      <c r="A78" s="131"/>
      <c r="B78" s="131"/>
      <c r="C78" s="65"/>
      <c r="D78" s="65"/>
      <c r="E78" s="65"/>
      <c r="F78" s="65"/>
      <c r="G78" s="98"/>
      <c r="H78" s="98"/>
      <c r="I78" s="98"/>
      <c r="J78" s="98"/>
      <c r="K78" s="98"/>
      <c r="L78" s="98"/>
      <c r="M78" s="98"/>
      <c r="N78" s="98"/>
      <c r="O78" s="98"/>
      <c r="P78" s="98"/>
      <c r="Q78" s="98"/>
      <c r="R78" s="98"/>
      <c r="S78" s="98"/>
      <c r="T78" s="98"/>
      <c r="U78" s="98"/>
      <c r="V78" s="98"/>
      <c r="W78" s="98"/>
      <c r="X78" s="98"/>
      <c r="Y78" s="98"/>
      <c r="Z78" s="51"/>
      <c r="AA78" s="131"/>
      <c r="AB78" s="131"/>
      <c r="AC78" s="65"/>
      <c r="AD78" s="65"/>
      <c r="AE78" s="65"/>
      <c r="AF78" s="65"/>
      <c r="AG78" s="98"/>
      <c r="AH78" s="98"/>
      <c r="AI78" s="98"/>
      <c r="AJ78" s="98"/>
      <c r="AK78" s="98"/>
      <c r="AL78" s="98"/>
      <c r="AM78" s="98"/>
      <c r="AN78" s="98"/>
      <c r="AO78" s="98"/>
      <c r="AP78" s="98"/>
      <c r="AQ78" s="98"/>
      <c r="AR78" s="98"/>
      <c r="AS78" s="98"/>
      <c r="AT78" s="98"/>
      <c r="AU78" s="98"/>
      <c r="AV78" s="98"/>
      <c r="AW78" s="98"/>
      <c r="AX78" s="98"/>
      <c r="AY78" s="98"/>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row>
    <row r="79" spans="1:97" ht="14.25" x14ac:dyDescent="0.1">
      <c r="A79" s="131"/>
      <c r="B79" s="131"/>
      <c r="C79" s="65"/>
      <c r="D79" s="65"/>
      <c r="E79" s="65"/>
      <c r="F79" s="65"/>
      <c r="G79" s="98"/>
      <c r="H79" s="98"/>
      <c r="I79" s="98"/>
      <c r="J79" s="98"/>
      <c r="K79" s="98"/>
      <c r="L79" s="98"/>
      <c r="M79" s="98"/>
      <c r="N79" s="98"/>
      <c r="O79" s="98"/>
      <c r="P79" s="98"/>
      <c r="Q79" s="98"/>
      <c r="R79" s="98"/>
      <c r="S79" s="98"/>
      <c r="T79" s="98"/>
      <c r="U79" s="98"/>
      <c r="V79" s="98"/>
      <c r="W79" s="98"/>
      <c r="X79" s="98"/>
      <c r="Y79" s="98"/>
      <c r="Z79" s="51"/>
      <c r="AA79" s="131"/>
      <c r="AB79" s="131"/>
      <c r="AC79" s="65"/>
      <c r="AD79" s="65"/>
      <c r="AE79" s="65"/>
      <c r="AF79" s="65"/>
      <c r="AG79" s="98"/>
      <c r="AH79" s="98"/>
      <c r="AI79" s="98"/>
      <c r="AJ79" s="98"/>
      <c r="AK79" s="98"/>
      <c r="AL79" s="98"/>
      <c r="AM79" s="98"/>
      <c r="AN79" s="98"/>
      <c r="AO79" s="98"/>
      <c r="AP79" s="98"/>
      <c r="AQ79" s="98"/>
      <c r="AR79" s="98"/>
      <c r="AS79" s="98"/>
      <c r="AT79" s="98"/>
      <c r="AU79" s="98"/>
      <c r="AV79" s="98"/>
      <c r="AW79" s="98"/>
      <c r="AX79" s="98"/>
      <c r="AY79" s="98"/>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row>
    <row r="80" spans="1:97" ht="14.25" x14ac:dyDescent="0.1">
      <c r="A80" s="51"/>
      <c r="B80" s="51"/>
      <c r="C80" s="51"/>
      <c r="D80" s="51"/>
      <c r="E80" s="51"/>
      <c r="F80" s="51"/>
      <c r="G80" s="51"/>
      <c r="H80" s="51"/>
      <c r="I80" s="65" t="s">
        <v>60</v>
      </c>
      <c r="J80" s="65"/>
      <c r="K80" s="65"/>
      <c r="L80" s="182">
        <f>主要情况!M10</f>
        <v>0</v>
      </c>
      <c r="M80" s="182"/>
      <c r="N80" s="182"/>
      <c r="O80" s="182"/>
      <c r="P80" s="182"/>
      <c r="Q80" s="51"/>
      <c r="R80" s="51"/>
      <c r="S80" s="51"/>
      <c r="T80" s="51"/>
      <c r="U80" s="51"/>
      <c r="V80" s="51"/>
      <c r="W80" s="51"/>
      <c r="X80" s="51"/>
      <c r="Y80" s="51"/>
      <c r="Z80" s="51"/>
      <c r="AA80" s="51"/>
      <c r="AB80" s="51"/>
      <c r="AC80" s="51"/>
      <c r="AD80" s="51"/>
      <c r="AE80" s="51"/>
      <c r="AF80" s="51"/>
      <c r="AG80" s="51"/>
      <c r="AH80" s="51"/>
      <c r="AI80" s="51"/>
      <c r="AJ80" s="65" t="s">
        <v>47</v>
      </c>
      <c r="AK80" s="65"/>
      <c r="AL80" s="65"/>
      <c r="AM80" s="182">
        <f>主要情况!R10</f>
        <v>0</v>
      </c>
      <c r="AN80" s="182"/>
      <c r="AO80" s="182"/>
      <c r="AP80" s="182"/>
      <c r="AQ80" s="182"/>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row>
    <row r="81" spans="1:97" ht="14.25" x14ac:dyDescent="0.1">
      <c r="A81" s="64" t="s">
        <v>48</v>
      </c>
      <c r="B81" s="64"/>
      <c r="C81" s="64" t="s">
        <v>37</v>
      </c>
      <c r="D81" s="64"/>
      <c r="E81" s="64"/>
      <c r="F81" s="64"/>
      <c r="G81" s="51"/>
      <c r="H81" s="51"/>
      <c r="I81" s="65"/>
      <c r="J81" s="65"/>
      <c r="K81" s="183"/>
      <c r="L81" s="184"/>
      <c r="M81" s="184"/>
      <c r="N81" s="184"/>
      <c r="O81" s="184"/>
      <c r="P81" s="184"/>
      <c r="Q81" s="51"/>
      <c r="R81" s="51"/>
      <c r="S81" s="51"/>
      <c r="T81" s="51"/>
      <c r="U81" s="51"/>
      <c r="V81" s="51"/>
      <c r="W81" s="51"/>
      <c r="X81" s="51"/>
      <c r="Y81" s="51"/>
      <c r="Z81" s="51"/>
      <c r="AA81" s="64" t="s">
        <v>48</v>
      </c>
      <c r="AB81" s="64"/>
      <c r="AC81" s="64" t="s">
        <v>37</v>
      </c>
      <c r="AD81" s="64"/>
      <c r="AE81" s="64"/>
      <c r="AF81" s="64"/>
      <c r="AG81" s="51"/>
      <c r="AH81" s="51"/>
      <c r="AI81" s="51"/>
      <c r="AJ81" s="65"/>
      <c r="AK81" s="65"/>
      <c r="AL81" s="65"/>
      <c r="AM81" s="182"/>
      <c r="AN81" s="182"/>
      <c r="AO81" s="182"/>
      <c r="AP81" s="182"/>
      <c r="AQ81" s="182"/>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row>
    <row r="82" spans="1:97" ht="14.25" x14ac:dyDescent="0.1">
      <c r="A82" s="131">
        <v>1</v>
      </c>
      <c r="B82" s="131"/>
      <c r="C82" s="65" t="s">
        <v>166</v>
      </c>
      <c r="D82" s="65"/>
      <c r="E82" s="65"/>
      <c r="F82" s="65"/>
      <c r="G82" s="98"/>
      <c r="H82" s="98"/>
      <c r="I82" s="98"/>
      <c r="J82" s="98"/>
      <c r="K82" s="98"/>
      <c r="L82" s="98"/>
      <c r="M82" s="98"/>
      <c r="N82" s="98"/>
      <c r="O82" s="98"/>
      <c r="P82" s="98"/>
      <c r="Q82" s="98"/>
      <c r="R82" s="98"/>
      <c r="S82" s="98"/>
      <c r="T82" s="98"/>
      <c r="U82" s="98"/>
      <c r="V82" s="98"/>
      <c r="W82" s="98"/>
      <c r="X82" s="98"/>
      <c r="Y82" s="98"/>
      <c r="Z82" s="51"/>
      <c r="AA82" s="131">
        <v>1</v>
      </c>
      <c r="AB82" s="131"/>
      <c r="AC82" s="65"/>
      <c r="AD82" s="65"/>
      <c r="AE82" s="65"/>
      <c r="AF82" s="65"/>
      <c r="AG82" s="98"/>
      <c r="AH82" s="98"/>
      <c r="AI82" s="98"/>
      <c r="AJ82" s="98"/>
      <c r="AK82" s="98"/>
      <c r="AL82" s="98"/>
      <c r="AM82" s="98"/>
      <c r="AN82" s="98"/>
      <c r="AO82" s="98"/>
      <c r="AP82" s="98"/>
      <c r="AQ82" s="98"/>
      <c r="AR82" s="98"/>
      <c r="AS82" s="98"/>
      <c r="AT82" s="98"/>
      <c r="AU82" s="98"/>
      <c r="AV82" s="98"/>
      <c r="AW82" s="98"/>
      <c r="AX82" s="98"/>
      <c r="AY82" s="98"/>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row>
    <row r="83" spans="1:97" ht="14.25" x14ac:dyDescent="0.1">
      <c r="A83" s="131">
        <v>2</v>
      </c>
      <c r="B83" s="131"/>
      <c r="C83" s="65"/>
      <c r="D83" s="65"/>
      <c r="E83" s="65"/>
      <c r="F83" s="65"/>
      <c r="G83" s="98"/>
      <c r="H83" s="98"/>
      <c r="I83" s="98"/>
      <c r="J83" s="98"/>
      <c r="K83" s="98"/>
      <c r="L83" s="98"/>
      <c r="M83" s="98"/>
      <c r="N83" s="98"/>
      <c r="O83" s="98"/>
      <c r="P83" s="98"/>
      <c r="Q83" s="98"/>
      <c r="R83" s="98"/>
      <c r="S83" s="98"/>
      <c r="T83" s="98"/>
      <c r="U83" s="98"/>
      <c r="V83" s="98"/>
      <c r="W83" s="98"/>
      <c r="X83" s="98"/>
      <c r="Y83" s="98"/>
      <c r="Z83" s="51"/>
      <c r="AA83" s="131"/>
      <c r="AB83" s="131"/>
      <c r="AC83" s="65"/>
      <c r="AD83" s="65"/>
      <c r="AE83" s="65"/>
      <c r="AF83" s="65"/>
      <c r="AG83" s="98"/>
      <c r="AH83" s="98"/>
      <c r="AI83" s="98"/>
      <c r="AJ83" s="98"/>
      <c r="AK83" s="98"/>
      <c r="AL83" s="98"/>
      <c r="AM83" s="98"/>
      <c r="AN83" s="98"/>
      <c r="AO83" s="98"/>
      <c r="AP83" s="98"/>
      <c r="AQ83" s="98"/>
      <c r="AR83" s="98"/>
      <c r="AS83" s="98"/>
      <c r="AT83" s="98"/>
      <c r="AU83" s="98"/>
      <c r="AV83" s="98"/>
      <c r="AW83" s="98"/>
      <c r="AX83" s="98"/>
      <c r="AY83" s="98"/>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row>
    <row r="84" spans="1:97" ht="14.25" x14ac:dyDescent="0.1">
      <c r="A84" s="131">
        <v>3</v>
      </c>
      <c r="B84" s="131"/>
      <c r="C84" s="65"/>
      <c r="D84" s="65"/>
      <c r="E84" s="65"/>
      <c r="F84" s="65"/>
      <c r="G84" s="98"/>
      <c r="H84" s="98"/>
      <c r="I84" s="98"/>
      <c r="J84" s="98"/>
      <c r="K84" s="98"/>
      <c r="L84" s="98"/>
      <c r="M84" s="98"/>
      <c r="N84" s="98"/>
      <c r="O84" s="98"/>
      <c r="P84" s="98"/>
      <c r="Q84" s="98"/>
      <c r="R84" s="98"/>
      <c r="S84" s="98"/>
      <c r="T84" s="98"/>
      <c r="U84" s="98"/>
      <c r="V84" s="98"/>
      <c r="W84" s="98"/>
      <c r="X84" s="98"/>
      <c r="Y84" s="98"/>
      <c r="Z84" s="51"/>
      <c r="AA84" s="131"/>
      <c r="AB84" s="131"/>
      <c r="AC84" s="65"/>
      <c r="AD84" s="65"/>
      <c r="AE84" s="65"/>
      <c r="AF84" s="65"/>
      <c r="AG84" s="98"/>
      <c r="AH84" s="98"/>
      <c r="AI84" s="98"/>
      <c r="AJ84" s="98"/>
      <c r="AK84" s="98"/>
      <c r="AL84" s="98"/>
      <c r="AM84" s="98"/>
      <c r="AN84" s="98"/>
      <c r="AO84" s="98"/>
      <c r="AP84" s="98"/>
      <c r="AQ84" s="98"/>
      <c r="AR84" s="98"/>
      <c r="AS84" s="98"/>
      <c r="AT84" s="98"/>
      <c r="AU84" s="98"/>
      <c r="AV84" s="98"/>
      <c r="AW84" s="98"/>
      <c r="AX84" s="98"/>
      <c r="AY84" s="98"/>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row>
    <row r="85" spans="1:97" ht="14.25" x14ac:dyDescent="0.1">
      <c r="A85" s="131">
        <v>4</v>
      </c>
      <c r="B85" s="131"/>
      <c r="C85" s="65"/>
      <c r="D85" s="65"/>
      <c r="E85" s="65"/>
      <c r="F85" s="65"/>
      <c r="G85" s="98"/>
      <c r="H85" s="98"/>
      <c r="I85" s="98"/>
      <c r="J85" s="98"/>
      <c r="K85" s="98"/>
      <c r="L85" s="98"/>
      <c r="M85" s="98"/>
      <c r="N85" s="98"/>
      <c r="O85" s="98"/>
      <c r="P85" s="98"/>
      <c r="Q85" s="98"/>
      <c r="R85" s="98"/>
      <c r="S85" s="98"/>
      <c r="T85" s="98"/>
      <c r="U85" s="98"/>
      <c r="V85" s="98"/>
      <c r="W85" s="98"/>
      <c r="X85" s="98"/>
      <c r="Y85" s="98"/>
      <c r="Z85" s="51"/>
      <c r="AA85" s="131"/>
      <c r="AB85" s="131"/>
      <c r="AC85" s="65"/>
      <c r="AD85" s="65"/>
      <c r="AE85" s="65"/>
      <c r="AF85" s="65"/>
      <c r="AG85" s="98"/>
      <c r="AH85" s="98"/>
      <c r="AI85" s="98"/>
      <c r="AJ85" s="98"/>
      <c r="AK85" s="98"/>
      <c r="AL85" s="98"/>
      <c r="AM85" s="98"/>
      <c r="AN85" s="98"/>
      <c r="AO85" s="98"/>
      <c r="AP85" s="98"/>
      <c r="AQ85" s="98"/>
      <c r="AR85" s="98"/>
      <c r="AS85" s="98"/>
      <c r="AT85" s="98"/>
      <c r="AU85" s="98"/>
      <c r="AV85" s="98"/>
      <c r="AW85" s="98"/>
      <c r="AX85" s="98"/>
      <c r="AY85" s="98"/>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row>
    <row r="86" spans="1:97" ht="14.25" x14ac:dyDescent="0.1">
      <c r="A86" s="131">
        <v>5</v>
      </c>
      <c r="B86" s="131"/>
      <c r="C86" s="65"/>
      <c r="D86" s="65"/>
      <c r="E86" s="65"/>
      <c r="F86" s="65"/>
      <c r="G86" s="98"/>
      <c r="H86" s="98"/>
      <c r="I86" s="98"/>
      <c r="J86" s="98"/>
      <c r="K86" s="98"/>
      <c r="L86" s="98"/>
      <c r="M86" s="98"/>
      <c r="N86" s="98"/>
      <c r="O86" s="98"/>
      <c r="P86" s="98"/>
      <c r="Q86" s="98"/>
      <c r="R86" s="98"/>
      <c r="S86" s="98"/>
      <c r="T86" s="98"/>
      <c r="U86" s="98"/>
      <c r="V86" s="98"/>
      <c r="W86" s="98"/>
      <c r="X86" s="98"/>
      <c r="Y86" s="98"/>
      <c r="Z86" s="51"/>
      <c r="AA86" s="131"/>
      <c r="AB86" s="131"/>
      <c r="AC86" s="65"/>
      <c r="AD86" s="65"/>
      <c r="AE86" s="65"/>
      <c r="AF86" s="65"/>
      <c r="AG86" s="98"/>
      <c r="AH86" s="98"/>
      <c r="AI86" s="98"/>
      <c r="AJ86" s="98"/>
      <c r="AK86" s="98"/>
      <c r="AL86" s="98"/>
      <c r="AM86" s="98"/>
      <c r="AN86" s="98"/>
      <c r="AO86" s="98"/>
      <c r="AP86" s="98"/>
      <c r="AQ86" s="98"/>
      <c r="AR86" s="98"/>
      <c r="AS86" s="98"/>
      <c r="AT86" s="98"/>
      <c r="AU86" s="98"/>
      <c r="AV86" s="98"/>
      <c r="AW86" s="98"/>
      <c r="AX86" s="98"/>
      <c r="AY86" s="98"/>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row>
    <row r="87" spans="1:97" ht="14.25" x14ac:dyDescent="0.1">
      <c r="A87" s="131">
        <v>6</v>
      </c>
      <c r="B87" s="131"/>
      <c r="C87" s="65"/>
      <c r="D87" s="65"/>
      <c r="E87" s="65"/>
      <c r="F87" s="65"/>
      <c r="G87" s="98"/>
      <c r="H87" s="98"/>
      <c r="I87" s="98"/>
      <c r="J87" s="98"/>
      <c r="K87" s="98"/>
      <c r="L87" s="98"/>
      <c r="M87" s="98"/>
      <c r="N87" s="98"/>
      <c r="O87" s="98"/>
      <c r="P87" s="98"/>
      <c r="Q87" s="98"/>
      <c r="R87" s="98"/>
      <c r="S87" s="98"/>
      <c r="T87" s="98"/>
      <c r="U87" s="98"/>
      <c r="V87" s="98"/>
      <c r="W87" s="98"/>
      <c r="X87" s="98"/>
      <c r="Y87" s="98"/>
      <c r="Z87" s="51"/>
      <c r="AA87" s="131"/>
      <c r="AB87" s="131"/>
      <c r="AC87" s="65"/>
      <c r="AD87" s="65"/>
      <c r="AE87" s="65"/>
      <c r="AF87" s="65"/>
      <c r="AG87" s="98"/>
      <c r="AH87" s="98"/>
      <c r="AI87" s="98"/>
      <c r="AJ87" s="98"/>
      <c r="AK87" s="98"/>
      <c r="AL87" s="98"/>
      <c r="AM87" s="98"/>
      <c r="AN87" s="98"/>
      <c r="AO87" s="98"/>
      <c r="AP87" s="98"/>
      <c r="AQ87" s="98"/>
      <c r="AR87" s="98"/>
      <c r="AS87" s="98"/>
      <c r="AT87" s="98"/>
      <c r="AU87" s="98"/>
      <c r="AV87" s="98"/>
      <c r="AW87" s="98"/>
      <c r="AX87" s="98"/>
      <c r="AY87" s="98"/>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row>
    <row r="88" spans="1:97" ht="14.25" x14ac:dyDescent="0.1">
      <c r="A88" s="131">
        <v>7</v>
      </c>
      <c r="B88" s="131"/>
      <c r="C88" s="65"/>
      <c r="D88" s="65"/>
      <c r="E88" s="65"/>
      <c r="F88" s="65"/>
      <c r="G88" s="98"/>
      <c r="H88" s="98"/>
      <c r="I88" s="98"/>
      <c r="J88" s="98"/>
      <c r="K88" s="98"/>
      <c r="L88" s="98"/>
      <c r="M88" s="98"/>
      <c r="N88" s="98"/>
      <c r="O88" s="98"/>
      <c r="P88" s="98"/>
      <c r="Q88" s="98"/>
      <c r="R88" s="98"/>
      <c r="S88" s="98"/>
      <c r="T88" s="98"/>
      <c r="U88" s="98"/>
      <c r="V88" s="98"/>
      <c r="W88" s="98"/>
      <c r="X88" s="98"/>
      <c r="Y88" s="98"/>
      <c r="Z88" s="51"/>
      <c r="AA88" s="131"/>
      <c r="AB88" s="131"/>
      <c r="AC88" s="65"/>
      <c r="AD88" s="65"/>
      <c r="AE88" s="65"/>
      <c r="AF88" s="65"/>
      <c r="AG88" s="98"/>
      <c r="AH88" s="98"/>
      <c r="AI88" s="98"/>
      <c r="AJ88" s="98"/>
      <c r="AK88" s="98"/>
      <c r="AL88" s="98"/>
      <c r="AM88" s="98"/>
      <c r="AN88" s="98"/>
      <c r="AO88" s="98"/>
      <c r="AP88" s="98"/>
      <c r="AQ88" s="98"/>
      <c r="AR88" s="98"/>
      <c r="AS88" s="98"/>
      <c r="AT88" s="98"/>
      <c r="AU88" s="98"/>
      <c r="AV88" s="98"/>
      <c r="AW88" s="98"/>
      <c r="AX88" s="98"/>
      <c r="AY88" s="98"/>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row>
    <row r="89" spans="1:97" ht="14.25" x14ac:dyDescent="0.1">
      <c r="A89" s="131">
        <v>8</v>
      </c>
      <c r="B89" s="131"/>
      <c r="C89" s="65"/>
      <c r="D89" s="65"/>
      <c r="E89" s="65"/>
      <c r="F89" s="65"/>
      <c r="G89" s="98"/>
      <c r="H89" s="98"/>
      <c r="I89" s="98"/>
      <c r="J89" s="98"/>
      <c r="K89" s="98"/>
      <c r="L89" s="98"/>
      <c r="M89" s="98"/>
      <c r="N89" s="98"/>
      <c r="O89" s="98"/>
      <c r="P89" s="98"/>
      <c r="Q89" s="98"/>
      <c r="R89" s="98"/>
      <c r="S89" s="98"/>
      <c r="T89" s="98"/>
      <c r="U89" s="98"/>
      <c r="V89" s="98"/>
      <c r="W89" s="98"/>
      <c r="X89" s="98"/>
      <c r="Y89" s="98"/>
      <c r="Z89" s="51"/>
      <c r="AA89" s="131"/>
      <c r="AB89" s="131"/>
      <c r="AC89" s="65"/>
      <c r="AD89" s="65"/>
      <c r="AE89" s="65"/>
      <c r="AF89" s="65"/>
      <c r="AG89" s="98"/>
      <c r="AH89" s="98"/>
      <c r="AI89" s="98"/>
      <c r="AJ89" s="98"/>
      <c r="AK89" s="98"/>
      <c r="AL89" s="98"/>
      <c r="AM89" s="98"/>
      <c r="AN89" s="98"/>
      <c r="AO89" s="98"/>
      <c r="AP89" s="98"/>
      <c r="AQ89" s="98"/>
      <c r="AR89" s="98"/>
      <c r="AS89" s="98"/>
      <c r="AT89" s="98"/>
      <c r="AU89" s="98"/>
      <c r="AV89" s="98"/>
      <c r="AW89" s="98"/>
      <c r="AX89" s="98"/>
      <c r="AY89" s="98"/>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row>
    <row r="90" spans="1:97" ht="14.25" x14ac:dyDescent="0.1">
      <c r="A90" s="131">
        <v>9</v>
      </c>
      <c r="B90" s="131"/>
      <c r="C90" s="65"/>
      <c r="D90" s="65"/>
      <c r="E90" s="65"/>
      <c r="F90" s="65"/>
      <c r="G90" s="98"/>
      <c r="H90" s="98"/>
      <c r="I90" s="98"/>
      <c r="J90" s="98"/>
      <c r="K90" s="98"/>
      <c r="L90" s="98"/>
      <c r="M90" s="98"/>
      <c r="N90" s="98"/>
      <c r="O90" s="98"/>
      <c r="P90" s="98"/>
      <c r="Q90" s="98"/>
      <c r="R90" s="98"/>
      <c r="S90" s="98"/>
      <c r="T90" s="98"/>
      <c r="U90" s="98"/>
      <c r="V90" s="98"/>
      <c r="W90" s="98"/>
      <c r="X90" s="98"/>
      <c r="Y90" s="98"/>
      <c r="Z90" s="51"/>
      <c r="AA90" s="51"/>
      <c r="AB90" s="51"/>
      <c r="AC90" s="51"/>
      <c r="AD90" s="51"/>
      <c r="AE90" s="51"/>
      <c r="AF90" s="51"/>
      <c r="AG90" s="51"/>
      <c r="AH90" s="51"/>
      <c r="AI90" s="51"/>
      <c r="AJ90" s="65" t="s">
        <v>164</v>
      </c>
      <c r="AK90" s="65"/>
      <c r="AL90" s="65"/>
      <c r="AM90" s="185" t="s">
        <v>169</v>
      </c>
      <c r="AN90" s="185"/>
      <c r="AO90" s="185"/>
      <c r="AP90" s="185"/>
      <c r="AQ90" s="185"/>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row>
    <row r="91" spans="1:97" ht="14.25" x14ac:dyDescent="0.1">
      <c r="A91" s="131">
        <v>10</v>
      </c>
      <c r="B91" s="131"/>
      <c r="C91" s="65"/>
      <c r="D91" s="65"/>
      <c r="E91" s="65"/>
      <c r="F91" s="65"/>
      <c r="G91" s="98"/>
      <c r="H91" s="98"/>
      <c r="I91" s="98"/>
      <c r="J91" s="98"/>
      <c r="K91" s="98"/>
      <c r="L91" s="98"/>
      <c r="M91" s="98"/>
      <c r="N91" s="98"/>
      <c r="O91" s="98"/>
      <c r="P91" s="98"/>
      <c r="Q91" s="98"/>
      <c r="R91" s="98"/>
      <c r="S91" s="98"/>
      <c r="T91" s="98"/>
      <c r="U91" s="98"/>
      <c r="V91" s="98"/>
      <c r="W91" s="98"/>
      <c r="X91" s="98"/>
      <c r="Y91" s="98"/>
      <c r="Z91" s="51"/>
      <c r="AA91" s="64" t="s">
        <v>48</v>
      </c>
      <c r="AB91" s="64"/>
      <c r="AC91" s="64" t="s">
        <v>37</v>
      </c>
      <c r="AD91" s="64"/>
      <c r="AE91" s="64"/>
      <c r="AF91" s="64"/>
      <c r="AG91" s="51"/>
      <c r="AH91" s="51"/>
      <c r="AI91" s="51"/>
      <c r="AJ91" s="65"/>
      <c r="AK91" s="65"/>
      <c r="AL91" s="65"/>
      <c r="AM91" s="185"/>
      <c r="AN91" s="185"/>
      <c r="AO91" s="185"/>
      <c r="AP91" s="185"/>
      <c r="AQ91" s="185"/>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row>
    <row r="92" spans="1:97" ht="14.25" x14ac:dyDescent="0.1">
      <c r="A92" s="131">
        <v>11</v>
      </c>
      <c r="B92" s="131"/>
      <c r="C92" s="65"/>
      <c r="D92" s="65"/>
      <c r="E92" s="65"/>
      <c r="F92" s="65"/>
      <c r="G92" s="98"/>
      <c r="H92" s="98"/>
      <c r="I92" s="98"/>
      <c r="J92" s="98"/>
      <c r="K92" s="98"/>
      <c r="L92" s="98"/>
      <c r="M92" s="98"/>
      <c r="N92" s="98"/>
      <c r="O92" s="98"/>
      <c r="P92" s="98"/>
      <c r="Q92" s="98"/>
      <c r="R92" s="98"/>
      <c r="S92" s="98"/>
      <c r="T92" s="98"/>
      <c r="U92" s="98"/>
      <c r="V92" s="98"/>
      <c r="W92" s="98"/>
      <c r="X92" s="98"/>
      <c r="Y92" s="98"/>
      <c r="Z92" s="51"/>
      <c r="AA92" s="131"/>
      <c r="AB92" s="131"/>
      <c r="AC92" s="65"/>
      <c r="AD92" s="65"/>
      <c r="AE92" s="65"/>
      <c r="AF92" s="65"/>
      <c r="AG92" s="98"/>
      <c r="AH92" s="98"/>
      <c r="AI92" s="98"/>
      <c r="AJ92" s="98"/>
      <c r="AK92" s="98"/>
      <c r="AL92" s="98"/>
      <c r="AM92" s="98"/>
      <c r="AN92" s="98"/>
      <c r="AO92" s="98"/>
      <c r="AP92" s="98"/>
      <c r="AQ92" s="98"/>
      <c r="AR92" s="98"/>
      <c r="AS92" s="98"/>
      <c r="AT92" s="98"/>
      <c r="AU92" s="98"/>
      <c r="AV92" s="98"/>
      <c r="AW92" s="98"/>
      <c r="AX92" s="98"/>
      <c r="AY92" s="98"/>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row>
    <row r="93" spans="1:97" ht="14.25" x14ac:dyDescent="0.1">
      <c r="A93" s="131">
        <v>12</v>
      </c>
      <c r="B93" s="131"/>
      <c r="C93" s="65"/>
      <c r="D93" s="65"/>
      <c r="E93" s="65"/>
      <c r="F93" s="65"/>
      <c r="G93" s="98"/>
      <c r="H93" s="98"/>
      <c r="I93" s="98"/>
      <c r="J93" s="98"/>
      <c r="K93" s="98"/>
      <c r="L93" s="98"/>
      <c r="M93" s="98"/>
      <c r="N93" s="98"/>
      <c r="O93" s="98"/>
      <c r="P93" s="98"/>
      <c r="Q93" s="98"/>
      <c r="R93" s="98"/>
      <c r="S93" s="98"/>
      <c r="T93" s="98"/>
      <c r="U93" s="98"/>
      <c r="V93" s="98"/>
      <c r="W93" s="98"/>
      <c r="X93" s="98"/>
      <c r="Y93" s="98"/>
      <c r="Z93" s="51"/>
      <c r="AA93" s="131"/>
      <c r="AB93" s="131"/>
      <c r="AC93" s="65"/>
      <c r="AD93" s="65"/>
      <c r="AE93" s="65"/>
      <c r="AF93" s="65"/>
      <c r="AG93" s="98"/>
      <c r="AH93" s="98"/>
      <c r="AI93" s="98"/>
      <c r="AJ93" s="98"/>
      <c r="AK93" s="98"/>
      <c r="AL93" s="98"/>
      <c r="AM93" s="98"/>
      <c r="AN93" s="98"/>
      <c r="AO93" s="98"/>
      <c r="AP93" s="98"/>
      <c r="AQ93" s="98"/>
      <c r="AR93" s="98"/>
      <c r="AS93" s="98"/>
      <c r="AT93" s="98"/>
      <c r="AU93" s="98"/>
      <c r="AV93" s="98"/>
      <c r="AW93" s="98"/>
      <c r="AX93" s="98"/>
      <c r="AY93" s="98"/>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row>
    <row r="94" spans="1:97" ht="14.25" x14ac:dyDescent="0.1">
      <c r="A94" s="131">
        <v>13</v>
      </c>
      <c r="B94" s="131"/>
      <c r="C94" s="65"/>
      <c r="D94" s="65"/>
      <c r="E94" s="65"/>
      <c r="F94" s="65"/>
      <c r="G94" s="98"/>
      <c r="H94" s="98"/>
      <c r="I94" s="98"/>
      <c r="J94" s="98"/>
      <c r="K94" s="98"/>
      <c r="L94" s="98"/>
      <c r="M94" s="98"/>
      <c r="N94" s="98"/>
      <c r="O94" s="98"/>
      <c r="P94" s="98"/>
      <c r="Q94" s="98"/>
      <c r="R94" s="98"/>
      <c r="S94" s="98"/>
      <c r="T94" s="98"/>
      <c r="U94" s="98"/>
      <c r="V94" s="98"/>
      <c r="W94" s="98"/>
      <c r="X94" s="98"/>
      <c r="Y94" s="98"/>
      <c r="Z94" s="51"/>
      <c r="AA94" s="131"/>
      <c r="AB94" s="131"/>
      <c r="AC94" s="65"/>
      <c r="AD94" s="65"/>
      <c r="AE94" s="65"/>
      <c r="AF94" s="65"/>
      <c r="AG94" s="98"/>
      <c r="AH94" s="98"/>
      <c r="AI94" s="98"/>
      <c r="AJ94" s="98"/>
      <c r="AK94" s="98"/>
      <c r="AL94" s="98"/>
      <c r="AM94" s="98"/>
      <c r="AN94" s="98"/>
      <c r="AO94" s="98"/>
      <c r="AP94" s="98"/>
      <c r="AQ94" s="98"/>
      <c r="AR94" s="98"/>
      <c r="AS94" s="98"/>
      <c r="AT94" s="98"/>
      <c r="AU94" s="98"/>
      <c r="AV94" s="98"/>
      <c r="AW94" s="98"/>
      <c r="AX94" s="98"/>
      <c r="AY94" s="98"/>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row>
    <row r="95" spans="1:97" ht="14.25" x14ac:dyDescent="0.1">
      <c r="A95" s="131">
        <v>14</v>
      </c>
      <c r="B95" s="131"/>
      <c r="C95" s="65"/>
      <c r="D95" s="65"/>
      <c r="E95" s="65"/>
      <c r="F95" s="65"/>
      <c r="G95" s="98"/>
      <c r="H95" s="98"/>
      <c r="I95" s="98"/>
      <c r="J95" s="98"/>
      <c r="K95" s="98"/>
      <c r="L95" s="98"/>
      <c r="M95" s="98"/>
      <c r="N95" s="98"/>
      <c r="O95" s="98"/>
      <c r="P95" s="98"/>
      <c r="Q95" s="98"/>
      <c r="R95" s="98"/>
      <c r="S95" s="98"/>
      <c r="T95" s="98"/>
      <c r="U95" s="98"/>
      <c r="V95" s="98"/>
      <c r="W95" s="98"/>
      <c r="X95" s="98"/>
      <c r="Y95" s="98"/>
      <c r="Z95" s="51"/>
      <c r="AA95" s="131"/>
      <c r="AB95" s="131"/>
      <c r="AC95" s="65"/>
      <c r="AD95" s="65"/>
      <c r="AE95" s="65"/>
      <c r="AF95" s="65"/>
      <c r="AG95" s="98"/>
      <c r="AH95" s="98"/>
      <c r="AI95" s="98"/>
      <c r="AJ95" s="98"/>
      <c r="AK95" s="98"/>
      <c r="AL95" s="98"/>
      <c r="AM95" s="98"/>
      <c r="AN95" s="98"/>
      <c r="AO95" s="98"/>
      <c r="AP95" s="98"/>
      <c r="AQ95" s="98"/>
      <c r="AR95" s="98"/>
      <c r="AS95" s="98"/>
      <c r="AT95" s="98"/>
      <c r="AU95" s="98"/>
      <c r="AV95" s="98"/>
      <c r="AW95" s="98"/>
      <c r="AX95" s="98"/>
      <c r="AY95" s="98"/>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row>
    <row r="96" spans="1:97" ht="14.25" x14ac:dyDescent="0.1">
      <c r="A96" s="131">
        <v>15</v>
      </c>
      <c r="B96" s="131"/>
      <c r="C96" s="65"/>
      <c r="D96" s="65"/>
      <c r="E96" s="65"/>
      <c r="F96" s="65"/>
      <c r="G96" s="98"/>
      <c r="H96" s="98"/>
      <c r="I96" s="98"/>
      <c r="J96" s="98"/>
      <c r="K96" s="98"/>
      <c r="L96" s="98"/>
      <c r="M96" s="98"/>
      <c r="N96" s="98"/>
      <c r="O96" s="98"/>
      <c r="P96" s="98"/>
      <c r="Q96" s="98"/>
      <c r="R96" s="98"/>
      <c r="S96" s="98"/>
      <c r="T96" s="98"/>
      <c r="U96" s="98"/>
      <c r="V96" s="98"/>
      <c r="W96" s="98"/>
      <c r="X96" s="98"/>
      <c r="Y96" s="98"/>
      <c r="Z96" s="51"/>
      <c r="AA96" s="131"/>
      <c r="AB96" s="131"/>
      <c r="AC96" s="65"/>
      <c r="AD96" s="65"/>
      <c r="AE96" s="65"/>
      <c r="AF96" s="65"/>
      <c r="AG96" s="98"/>
      <c r="AH96" s="98"/>
      <c r="AI96" s="98"/>
      <c r="AJ96" s="98"/>
      <c r="AK96" s="98"/>
      <c r="AL96" s="98"/>
      <c r="AM96" s="98"/>
      <c r="AN96" s="98"/>
      <c r="AO96" s="98"/>
      <c r="AP96" s="98"/>
      <c r="AQ96" s="98"/>
      <c r="AR96" s="98"/>
      <c r="AS96" s="98"/>
      <c r="AT96" s="98"/>
      <c r="AU96" s="98"/>
      <c r="AV96" s="98"/>
      <c r="AW96" s="98"/>
      <c r="AX96" s="98"/>
      <c r="AY96" s="98"/>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row>
    <row r="97" spans="1:97" ht="14.25" x14ac:dyDescent="0.1">
      <c r="A97" s="131">
        <v>16</v>
      </c>
      <c r="B97" s="131"/>
      <c r="C97" s="65"/>
      <c r="D97" s="65"/>
      <c r="E97" s="65"/>
      <c r="F97" s="65"/>
      <c r="G97" s="98"/>
      <c r="H97" s="98"/>
      <c r="I97" s="98"/>
      <c r="J97" s="98"/>
      <c r="K97" s="98"/>
      <c r="L97" s="98"/>
      <c r="M97" s="98"/>
      <c r="N97" s="98"/>
      <c r="O97" s="98"/>
      <c r="P97" s="98"/>
      <c r="Q97" s="98"/>
      <c r="R97" s="98"/>
      <c r="S97" s="98"/>
      <c r="T97" s="98"/>
      <c r="U97" s="98"/>
      <c r="V97" s="98"/>
      <c r="W97" s="98"/>
      <c r="X97" s="98"/>
      <c r="Y97" s="98"/>
      <c r="Z97" s="51"/>
      <c r="AA97" s="131"/>
      <c r="AB97" s="131"/>
      <c r="AC97" s="65"/>
      <c r="AD97" s="65"/>
      <c r="AE97" s="65"/>
      <c r="AF97" s="65"/>
      <c r="AG97" s="98"/>
      <c r="AH97" s="98"/>
      <c r="AI97" s="98"/>
      <c r="AJ97" s="98"/>
      <c r="AK97" s="98"/>
      <c r="AL97" s="98"/>
      <c r="AM97" s="98"/>
      <c r="AN97" s="98"/>
      <c r="AO97" s="98"/>
      <c r="AP97" s="98"/>
      <c r="AQ97" s="98"/>
      <c r="AR97" s="98"/>
      <c r="AS97" s="98"/>
      <c r="AT97" s="98"/>
      <c r="AU97" s="98"/>
      <c r="AV97" s="98"/>
      <c r="AW97" s="98"/>
      <c r="AX97" s="98"/>
      <c r="AY97" s="98"/>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row>
    <row r="98" spans="1:97" ht="14.25" x14ac:dyDescent="0.1">
      <c r="A98" s="131">
        <v>17</v>
      </c>
      <c r="B98" s="131"/>
      <c r="C98" s="65"/>
      <c r="D98" s="65"/>
      <c r="E98" s="65"/>
      <c r="F98" s="65"/>
      <c r="G98" s="98"/>
      <c r="H98" s="98"/>
      <c r="I98" s="98"/>
      <c r="J98" s="98"/>
      <c r="K98" s="98"/>
      <c r="L98" s="98"/>
      <c r="M98" s="98"/>
      <c r="N98" s="98"/>
      <c r="O98" s="98"/>
      <c r="P98" s="98"/>
      <c r="Q98" s="98"/>
      <c r="R98" s="98"/>
      <c r="S98" s="98"/>
      <c r="T98" s="98"/>
      <c r="U98" s="98"/>
      <c r="V98" s="98"/>
      <c r="W98" s="98"/>
      <c r="X98" s="98"/>
      <c r="Y98" s="98"/>
      <c r="Z98" s="51"/>
      <c r="AA98" s="131"/>
      <c r="AB98" s="131"/>
      <c r="AC98" s="65"/>
      <c r="AD98" s="65"/>
      <c r="AE98" s="65"/>
      <c r="AF98" s="65"/>
      <c r="AG98" s="98"/>
      <c r="AH98" s="98"/>
      <c r="AI98" s="98"/>
      <c r="AJ98" s="98"/>
      <c r="AK98" s="98"/>
      <c r="AL98" s="98"/>
      <c r="AM98" s="98"/>
      <c r="AN98" s="98"/>
      <c r="AO98" s="98"/>
      <c r="AP98" s="98"/>
      <c r="AQ98" s="98"/>
      <c r="AR98" s="98"/>
      <c r="AS98" s="98"/>
      <c r="AT98" s="98"/>
      <c r="AU98" s="98"/>
      <c r="AV98" s="98"/>
      <c r="AW98" s="98"/>
      <c r="AX98" s="98"/>
      <c r="AY98" s="98"/>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row>
    <row r="99" spans="1:97" ht="14.25" x14ac:dyDescent="0.1">
      <c r="A99" s="131">
        <v>18</v>
      </c>
      <c r="B99" s="131"/>
      <c r="C99" s="65"/>
      <c r="D99" s="65"/>
      <c r="E99" s="65"/>
      <c r="F99" s="65"/>
      <c r="G99" s="98"/>
      <c r="H99" s="98"/>
      <c r="I99" s="98"/>
      <c r="J99" s="98"/>
      <c r="K99" s="98"/>
      <c r="L99" s="98"/>
      <c r="M99" s="98"/>
      <c r="N99" s="98"/>
      <c r="O99" s="98"/>
      <c r="P99" s="98"/>
      <c r="Q99" s="98"/>
      <c r="R99" s="98"/>
      <c r="S99" s="98"/>
      <c r="T99" s="98"/>
      <c r="U99" s="98"/>
      <c r="V99" s="98"/>
      <c r="W99" s="98"/>
      <c r="X99" s="98"/>
      <c r="Y99" s="98"/>
      <c r="Z99" s="51"/>
      <c r="AA99" s="131"/>
      <c r="AB99" s="131"/>
      <c r="AC99" s="65"/>
      <c r="AD99" s="65"/>
      <c r="AE99" s="65"/>
      <c r="AF99" s="65"/>
      <c r="AG99" s="98"/>
      <c r="AH99" s="98"/>
      <c r="AI99" s="98"/>
      <c r="AJ99" s="98"/>
      <c r="AK99" s="98"/>
      <c r="AL99" s="98"/>
      <c r="AM99" s="98"/>
      <c r="AN99" s="98"/>
      <c r="AO99" s="98"/>
      <c r="AP99" s="98"/>
      <c r="AQ99" s="98"/>
      <c r="AR99" s="98"/>
      <c r="AS99" s="98"/>
      <c r="AT99" s="98"/>
      <c r="AU99" s="98"/>
      <c r="AV99" s="98"/>
      <c r="AW99" s="98"/>
      <c r="AX99" s="98"/>
      <c r="AY99" s="98"/>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row>
    <row r="100" spans="1:97" ht="14.25" x14ac:dyDescent="0.1">
      <c r="A100" s="131">
        <v>19</v>
      </c>
      <c r="B100" s="131"/>
      <c r="C100" s="65"/>
      <c r="D100" s="65"/>
      <c r="E100" s="65"/>
      <c r="F100" s="65"/>
      <c r="G100" s="98"/>
      <c r="H100" s="98"/>
      <c r="I100" s="98"/>
      <c r="J100" s="98"/>
      <c r="K100" s="98"/>
      <c r="L100" s="98"/>
      <c r="M100" s="98"/>
      <c r="N100" s="98"/>
      <c r="O100" s="98"/>
      <c r="P100" s="98"/>
      <c r="Q100" s="98"/>
      <c r="R100" s="98"/>
      <c r="S100" s="98"/>
      <c r="T100" s="98"/>
      <c r="U100" s="98"/>
      <c r="V100" s="98"/>
      <c r="W100" s="98"/>
      <c r="X100" s="98"/>
      <c r="Y100" s="98"/>
      <c r="Z100" s="51"/>
      <c r="AA100" s="131"/>
      <c r="AB100" s="131"/>
      <c r="AC100" s="65"/>
      <c r="AD100" s="65"/>
      <c r="AE100" s="65"/>
      <c r="AF100" s="65"/>
      <c r="AG100" s="98"/>
      <c r="AH100" s="98"/>
      <c r="AI100" s="98"/>
      <c r="AJ100" s="98"/>
      <c r="AK100" s="98"/>
      <c r="AL100" s="98"/>
      <c r="AM100" s="98"/>
      <c r="AN100" s="98"/>
      <c r="AO100" s="98"/>
      <c r="AP100" s="98"/>
      <c r="AQ100" s="98"/>
      <c r="AR100" s="98"/>
      <c r="AS100" s="98"/>
      <c r="AT100" s="98"/>
      <c r="AU100" s="98"/>
      <c r="AV100" s="98"/>
      <c r="AW100" s="98"/>
      <c r="AX100" s="98"/>
      <c r="AY100" s="98"/>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row>
    <row r="101" spans="1:97" ht="14.25" x14ac:dyDescent="0.1">
      <c r="A101" s="131">
        <v>20</v>
      </c>
      <c r="B101" s="131"/>
      <c r="C101" s="65"/>
      <c r="D101" s="65"/>
      <c r="E101" s="65"/>
      <c r="F101" s="65"/>
      <c r="G101" s="98"/>
      <c r="H101" s="98"/>
      <c r="I101" s="98"/>
      <c r="J101" s="98"/>
      <c r="K101" s="98"/>
      <c r="L101" s="98"/>
      <c r="M101" s="98"/>
      <c r="N101" s="98"/>
      <c r="O101" s="98"/>
      <c r="P101" s="98"/>
      <c r="Q101" s="98"/>
      <c r="R101" s="98"/>
      <c r="S101" s="98"/>
      <c r="T101" s="98"/>
      <c r="U101" s="98"/>
      <c r="V101" s="98"/>
      <c r="W101" s="98"/>
      <c r="X101" s="98"/>
      <c r="Y101" s="98"/>
      <c r="Z101" s="51"/>
      <c r="AA101" s="131"/>
      <c r="AB101" s="131"/>
      <c r="AC101" s="65"/>
      <c r="AD101" s="65"/>
      <c r="AE101" s="65"/>
      <c r="AF101" s="65"/>
      <c r="AG101" s="98"/>
      <c r="AH101" s="98"/>
      <c r="AI101" s="98"/>
      <c r="AJ101" s="98"/>
      <c r="AK101" s="98"/>
      <c r="AL101" s="98"/>
      <c r="AM101" s="98"/>
      <c r="AN101" s="98"/>
      <c r="AO101" s="98"/>
      <c r="AP101" s="98"/>
      <c r="AQ101" s="98"/>
      <c r="AR101" s="98"/>
      <c r="AS101" s="98"/>
      <c r="AT101" s="98"/>
      <c r="AU101" s="98"/>
      <c r="AV101" s="98"/>
      <c r="AW101" s="98"/>
      <c r="AX101" s="98"/>
      <c r="AY101" s="98"/>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row>
    <row r="102" spans="1:97" ht="14.25" x14ac:dyDescent="0.1">
      <c r="A102" s="131"/>
      <c r="B102" s="131"/>
      <c r="C102" s="65"/>
      <c r="D102" s="65"/>
      <c r="E102" s="65"/>
      <c r="F102" s="65"/>
      <c r="G102" s="98"/>
      <c r="H102" s="98"/>
      <c r="I102" s="98"/>
      <c r="J102" s="98"/>
      <c r="K102" s="98"/>
      <c r="L102" s="98"/>
      <c r="M102" s="98"/>
      <c r="N102" s="98"/>
      <c r="O102" s="98"/>
      <c r="P102" s="98"/>
      <c r="Q102" s="98"/>
      <c r="R102" s="98"/>
      <c r="S102" s="98"/>
      <c r="T102" s="98"/>
      <c r="U102" s="98"/>
      <c r="V102" s="98"/>
      <c r="W102" s="98"/>
      <c r="X102" s="98"/>
      <c r="Y102" s="98"/>
      <c r="Z102" s="51"/>
      <c r="AA102" s="131"/>
      <c r="AB102" s="131"/>
      <c r="AC102" s="65"/>
      <c r="AD102" s="65"/>
      <c r="AE102" s="65"/>
      <c r="AF102" s="65"/>
      <c r="AG102" s="98"/>
      <c r="AH102" s="98"/>
      <c r="AI102" s="98"/>
      <c r="AJ102" s="98"/>
      <c r="AK102" s="98"/>
      <c r="AL102" s="98"/>
      <c r="AM102" s="98"/>
      <c r="AN102" s="98"/>
      <c r="AO102" s="98"/>
      <c r="AP102" s="98"/>
      <c r="AQ102" s="98"/>
      <c r="AR102" s="98"/>
      <c r="AS102" s="98"/>
      <c r="AT102" s="98"/>
      <c r="AU102" s="98"/>
      <c r="AV102" s="98"/>
      <c r="AW102" s="98"/>
      <c r="AX102" s="98"/>
      <c r="AY102" s="98"/>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row>
    <row r="103" spans="1:97" ht="14.25" x14ac:dyDescent="0.1">
      <c r="A103" s="131"/>
      <c r="B103" s="131"/>
      <c r="C103" s="65"/>
      <c r="D103" s="65"/>
      <c r="E103" s="65"/>
      <c r="F103" s="65"/>
      <c r="G103" s="98"/>
      <c r="H103" s="98"/>
      <c r="I103" s="98"/>
      <c r="J103" s="98"/>
      <c r="K103" s="98"/>
      <c r="L103" s="98"/>
      <c r="M103" s="98"/>
      <c r="N103" s="98"/>
      <c r="O103" s="98"/>
      <c r="P103" s="98"/>
      <c r="Q103" s="98"/>
      <c r="R103" s="98"/>
      <c r="S103" s="98"/>
      <c r="T103" s="98"/>
      <c r="U103" s="98"/>
      <c r="V103" s="98"/>
      <c r="W103" s="98"/>
      <c r="X103" s="98"/>
      <c r="Y103" s="98"/>
      <c r="Z103" s="51"/>
      <c r="AA103" s="131"/>
      <c r="AB103" s="131"/>
      <c r="AC103" s="65"/>
      <c r="AD103" s="65"/>
      <c r="AE103" s="65"/>
      <c r="AF103" s="65"/>
      <c r="AG103" s="98"/>
      <c r="AH103" s="98"/>
      <c r="AI103" s="98"/>
      <c r="AJ103" s="98"/>
      <c r="AK103" s="98"/>
      <c r="AL103" s="98"/>
      <c r="AM103" s="98"/>
      <c r="AN103" s="98"/>
      <c r="AO103" s="98"/>
      <c r="AP103" s="98"/>
      <c r="AQ103" s="98"/>
      <c r="AR103" s="98"/>
      <c r="AS103" s="98"/>
      <c r="AT103" s="98"/>
      <c r="AU103" s="98"/>
      <c r="AV103" s="98"/>
      <c r="AW103" s="98"/>
      <c r="AX103" s="98"/>
      <c r="AY103" s="98"/>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row>
    <row r="104" spans="1:97" ht="14.25" x14ac:dyDescent="0.1">
      <c r="A104" s="131"/>
      <c r="B104" s="131"/>
      <c r="C104" s="65"/>
      <c r="D104" s="65"/>
      <c r="E104" s="65"/>
      <c r="F104" s="65"/>
      <c r="G104" s="98"/>
      <c r="H104" s="98"/>
      <c r="I104" s="98"/>
      <c r="J104" s="98"/>
      <c r="K104" s="98"/>
      <c r="L104" s="98"/>
      <c r="M104" s="98"/>
      <c r="N104" s="98"/>
      <c r="O104" s="98"/>
      <c r="P104" s="98"/>
      <c r="Q104" s="98"/>
      <c r="R104" s="98"/>
      <c r="S104" s="98"/>
      <c r="T104" s="98"/>
      <c r="U104" s="98"/>
      <c r="V104" s="98"/>
      <c r="W104" s="98"/>
      <c r="X104" s="98"/>
      <c r="Y104" s="98"/>
      <c r="Z104" s="51"/>
      <c r="AA104" s="131"/>
      <c r="AB104" s="131"/>
      <c r="AC104" s="65"/>
      <c r="AD104" s="65"/>
      <c r="AE104" s="65"/>
      <c r="AF104" s="65"/>
      <c r="AG104" s="98"/>
      <c r="AH104" s="98"/>
      <c r="AI104" s="98"/>
      <c r="AJ104" s="98"/>
      <c r="AK104" s="98"/>
      <c r="AL104" s="98"/>
      <c r="AM104" s="98"/>
      <c r="AN104" s="98"/>
      <c r="AO104" s="98"/>
      <c r="AP104" s="98"/>
      <c r="AQ104" s="98"/>
      <c r="AR104" s="98"/>
      <c r="AS104" s="98"/>
      <c r="AT104" s="98"/>
      <c r="AU104" s="98"/>
      <c r="AV104" s="98"/>
      <c r="AW104" s="98"/>
      <c r="AX104" s="98"/>
      <c r="AY104" s="98"/>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row>
    <row r="105" spans="1:97" ht="14.25" x14ac:dyDescent="0.1">
      <c r="A105" s="131"/>
      <c r="B105" s="131"/>
      <c r="C105" s="65"/>
      <c r="D105" s="65"/>
      <c r="E105" s="65"/>
      <c r="F105" s="65"/>
      <c r="G105" s="98"/>
      <c r="H105" s="98"/>
      <c r="I105" s="98"/>
      <c r="J105" s="98"/>
      <c r="K105" s="98"/>
      <c r="L105" s="98"/>
      <c r="M105" s="98"/>
      <c r="N105" s="98"/>
      <c r="O105" s="98"/>
      <c r="P105" s="98"/>
      <c r="Q105" s="98"/>
      <c r="R105" s="98"/>
      <c r="S105" s="98"/>
      <c r="T105" s="98"/>
      <c r="U105" s="98"/>
      <c r="V105" s="98"/>
      <c r="W105" s="98"/>
      <c r="X105" s="98"/>
      <c r="Y105" s="98"/>
      <c r="Z105" s="51"/>
      <c r="AA105" s="131"/>
      <c r="AB105" s="131"/>
      <c r="AC105" s="65"/>
      <c r="AD105" s="65"/>
      <c r="AE105" s="65"/>
      <c r="AF105" s="65"/>
      <c r="AG105" s="98"/>
      <c r="AH105" s="98"/>
      <c r="AI105" s="98"/>
      <c r="AJ105" s="98"/>
      <c r="AK105" s="98"/>
      <c r="AL105" s="98"/>
      <c r="AM105" s="98"/>
      <c r="AN105" s="98"/>
      <c r="AO105" s="98"/>
      <c r="AP105" s="98"/>
      <c r="AQ105" s="98"/>
      <c r="AR105" s="98"/>
      <c r="AS105" s="98"/>
      <c r="AT105" s="98"/>
      <c r="AU105" s="98"/>
      <c r="AV105" s="98"/>
      <c r="AW105" s="98"/>
      <c r="AX105" s="98"/>
      <c r="AY105" s="98"/>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row>
    <row r="106" spans="1:97" ht="14.25" x14ac:dyDescent="0.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row>
    <row r="107" spans="1:97" ht="14.25" x14ac:dyDescent="0.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row>
    <row r="108" spans="1:97" ht="14.25" x14ac:dyDescent="0.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row>
    <row r="109" spans="1:97" ht="14.25" x14ac:dyDescent="0.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row>
    <row r="110" spans="1:97" ht="14.25" x14ac:dyDescent="0.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row>
    <row r="111" spans="1:97" ht="14.25" x14ac:dyDescent="0.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row>
    <row r="112" spans="1:97" ht="14.25" x14ac:dyDescent="0.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row>
    <row r="113" spans="1:97" ht="14.25" x14ac:dyDescent="0.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c r="CQ113" s="51"/>
      <c r="CR113" s="51"/>
      <c r="CS113" s="51"/>
    </row>
    <row r="114" spans="1:97" ht="14.25" x14ac:dyDescent="0.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row>
    <row r="115" spans="1:97" ht="14.25" x14ac:dyDescent="0.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c r="CQ115" s="51"/>
      <c r="CR115" s="51"/>
      <c r="CS115" s="51"/>
    </row>
    <row r="116" spans="1:97" ht="14.25" x14ac:dyDescent="0.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row>
    <row r="117" spans="1:97" ht="14.25" x14ac:dyDescent="0.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row>
    <row r="118" spans="1:97" ht="14.25" x14ac:dyDescent="0.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row>
    <row r="119" spans="1:97" ht="14.25" x14ac:dyDescent="0.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row>
    <row r="120" spans="1:97" ht="14.25" x14ac:dyDescent="0.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c r="CQ120" s="51"/>
      <c r="CR120" s="51"/>
      <c r="CS120" s="51"/>
    </row>
    <row r="121" spans="1:97" ht="14.25" x14ac:dyDescent="0.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c r="CQ121" s="51"/>
      <c r="CR121" s="51"/>
      <c r="CS121" s="51"/>
    </row>
    <row r="122" spans="1:97" ht="14.25" x14ac:dyDescent="0.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c r="CQ122" s="51"/>
      <c r="CR122" s="51"/>
      <c r="CS122" s="51"/>
    </row>
  </sheetData>
  <mergeCells count="601">
    <mergeCell ref="AJ38:AL39"/>
    <mergeCell ref="AJ64:AL65"/>
    <mergeCell ref="AJ90:AL91"/>
    <mergeCell ref="AM38:AQ39"/>
    <mergeCell ref="AM64:AQ65"/>
    <mergeCell ref="AM90:AQ91"/>
    <mergeCell ref="A105:B105"/>
    <mergeCell ref="C105:F105"/>
    <mergeCell ref="G105:Y105"/>
    <mergeCell ref="AA105:AB105"/>
    <mergeCell ref="AC105:AF105"/>
    <mergeCell ref="AG105:AY105"/>
    <mergeCell ref="AM2:AQ3"/>
    <mergeCell ref="I2:K3"/>
    <mergeCell ref="AJ2:AL3"/>
    <mergeCell ref="L2:P3"/>
    <mergeCell ref="I28:K29"/>
    <mergeCell ref="AJ28:AL29"/>
    <mergeCell ref="L28:P29"/>
    <mergeCell ref="AM28:AQ29"/>
    <mergeCell ref="I54:K55"/>
    <mergeCell ref="AJ54:AL55"/>
    <mergeCell ref="L54:P55"/>
    <mergeCell ref="AM54:AQ55"/>
    <mergeCell ref="I80:K81"/>
    <mergeCell ref="AJ80:AL81"/>
    <mergeCell ref="L80:P81"/>
    <mergeCell ref="AM80:AQ81"/>
    <mergeCell ref="AJ12:AL13"/>
    <mergeCell ref="AM12:AQ13"/>
    <mergeCell ref="A103:B103"/>
    <mergeCell ref="C103:F103"/>
    <mergeCell ref="G103:Y103"/>
    <mergeCell ref="AA103:AB103"/>
    <mergeCell ref="AC103:AF103"/>
    <mergeCell ref="AG103:AY103"/>
    <mergeCell ref="A104:B104"/>
    <mergeCell ref="C104:F104"/>
    <mergeCell ref="G104:Y104"/>
    <mergeCell ref="AA104:AB104"/>
    <mergeCell ref="AC104:AF104"/>
    <mergeCell ref="AG104:AY104"/>
    <mergeCell ref="A101:B101"/>
    <mergeCell ref="C101:F101"/>
    <mergeCell ref="G101:Y101"/>
    <mergeCell ref="AA101:AB101"/>
    <mergeCell ref="AC101:AF101"/>
    <mergeCell ref="AG101:AY101"/>
    <mergeCell ref="A102:B102"/>
    <mergeCell ref="C102:F102"/>
    <mergeCell ref="G102:Y102"/>
    <mergeCell ref="AA102:AB102"/>
    <mergeCell ref="AC102:AF102"/>
    <mergeCell ref="AG102:AY102"/>
    <mergeCell ref="A99:B99"/>
    <mergeCell ref="C99:F99"/>
    <mergeCell ref="G99:Y99"/>
    <mergeCell ref="AA99:AB99"/>
    <mergeCell ref="AC99:AF99"/>
    <mergeCell ref="AG99:AY99"/>
    <mergeCell ref="A100:B100"/>
    <mergeCell ref="C100:F100"/>
    <mergeCell ref="G100:Y100"/>
    <mergeCell ref="AA100:AB100"/>
    <mergeCell ref="AC100:AF100"/>
    <mergeCell ref="AG100:AY100"/>
    <mergeCell ref="A97:B97"/>
    <mergeCell ref="C97:F97"/>
    <mergeCell ref="G97:Y97"/>
    <mergeCell ref="AA97:AB97"/>
    <mergeCell ref="AC97:AF97"/>
    <mergeCell ref="AG97:AY97"/>
    <mergeCell ref="A98:B98"/>
    <mergeCell ref="C98:F98"/>
    <mergeCell ref="G98:Y98"/>
    <mergeCell ref="AA98:AB98"/>
    <mergeCell ref="AC98:AF98"/>
    <mergeCell ref="AG98:AY98"/>
    <mergeCell ref="A95:B95"/>
    <mergeCell ref="C95:F95"/>
    <mergeCell ref="G95:Y95"/>
    <mergeCell ref="AA95:AB95"/>
    <mergeCell ref="AC95:AF95"/>
    <mergeCell ref="AG95:AY95"/>
    <mergeCell ref="A96:B96"/>
    <mergeCell ref="C96:F96"/>
    <mergeCell ref="G96:Y96"/>
    <mergeCell ref="AA96:AB96"/>
    <mergeCell ref="AC96:AF96"/>
    <mergeCell ref="AG96:AY96"/>
    <mergeCell ref="AG92:AY92"/>
    <mergeCell ref="A93:B93"/>
    <mergeCell ref="C93:F93"/>
    <mergeCell ref="G93:Y93"/>
    <mergeCell ref="AA93:AB93"/>
    <mergeCell ref="AC93:AF93"/>
    <mergeCell ref="AG93:AY93"/>
    <mergeCell ref="A94:B94"/>
    <mergeCell ref="C94:F94"/>
    <mergeCell ref="G94:Y94"/>
    <mergeCell ref="AA94:AB94"/>
    <mergeCell ref="AC94:AF94"/>
    <mergeCell ref="AG94:AY94"/>
    <mergeCell ref="A90:B90"/>
    <mergeCell ref="C90:F90"/>
    <mergeCell ref="G90:Y90"/>
    <mergeCell ref="A91:B91"/>
    <mergeCell ref="C91:F91"/>
    <mergeCell ref="G91:Y91"/>
    <mergeCell ref="AA91:AB91"/>
    <mergeCell ref="AC91:AF91"/>
    <mergeCell ref="A92:B92"/>
    <mergeCell ref="C92:F92"/>
    <mergeCell ref="G92:Y92"/>
    <mergeCell ref="AA92:AB92"/>
    <mergeCell ref="AC92:AF92"/>
    <mergeCell ref="A88:B88"/>
    <mergeCell ref="C88:F88"/>
    <mergeCell ref="G88:Y88"/>
    <mergeCell ref="AA88:AB88"/>
    <mergeCell ref="AC88:AF88"/>
    <mergeCell ref="AG88:AY88"/>
    <mergeCell ref="A89:B89"/>
    <mergeCell ref="C89:F89"/>
    <mergeCell ref="G89:Y89"/>
    <mergeCell ref="AA89:AB89"/>
    <mergeCell ref="AC89:AF89"/>
    <mergeCell ref="AG89:AY89"/>
    <mergeCell ref="A86:B86"/>
    <mergeCell ref="C86:F86"/>
    <mergeCell ref="G86:Y86"/>
    <mergeCell ref="AA86:AB86"/>
    <mergeCell ref="AC86:AF86"/>
    <mergeCell ref="AG86:AY86"/>
    <mergeCell ref="A87:B87"/>
    <mergeCell ref="C87:F87"/>
    <mergeCell ref="G87:Y87"/>
    <mergeCell ref="AA87:AB87"/>
    <mergeCell ref="AC87:AF87"/>
    <mergeCell ref="AG87:AY87"/>
    <mergeCell ref="A84:B84"/>
    <mergeCell ref="C84:F84"/>
    <mergeCell ref="G84:Y84"/>
    <mergeCell ref="AA84:AB84"/>
    <mergeCell ref="AC84:AF84"/>
    <mergeCell ref="AG84:AY84"/>
    <mergeCell ref="A85:B85"/>
    <mergeCell ref="C85:F85"/>
    <mergeCell ref="G85:Y85"/>
    <mergeCell ref="AA85:AB85"/>
    <mergeCell ref="AC85:AF85"/>
    <mergeCell ref="AG85:AY85"/>
    <mergeCell ref="A82:B82"/>
    <mergeCell ref="C82:F82"/>
    <mergeCell ref="G82:Y82"/>
    <mergeCell ref="AA82:AB82"/>
    <mergeCell ref="AC82:AF82"/>
    <mergeCell ref="AG82:AY82"/>
    <mergeCell ref="A83:B83"/>
    <mergeCell ref="C83:F83"/>
    <mergeCell ref="G83:Y83"/>
    <mergeCell ref="AA83:AB83"/>
    <mergeCell ref="AC83:AF83"/>
    <mergeCell ref="AG83:AY83"/>
    <mergeCell ref="A79:B79"/>
    <mergeCell ref="C79:F79"/>
    <mergeCell ref="G79:Y79"/>
    <mergeCell ref="AA79:AB79"/>
    <mergeCell ref="AC79:AF79"/>
    <mergeCell ref="AG79:AY79"/>
    <mergeCell ref="A81:B81"/>
    <mergeCell ref="C81:F81"/>
    <mergeCell ref="AA81:AB81"/>
    <mergeCell ref="AC81:AF81"/>
    <mergeCell ref="A77:B77"/>
    <mergeCell ref="C77:F77"/>
    <mergeCell ref="G77:Y77"/>
    <mergeCell ref="AA77:AB77"/>
    <mergeCell ref="AC77:AF77"/>
    <mergeCell ref="AG77:AY77"/>
    <mergeCell ref="A78:B78"/>
    <mergeCell ref="C78:F78"/>
    <mergeCell ref="G78:Y78"/>
    <mergeCell ref="AA78:AB78"/>
    <mergeCell ref="AC78:AF78"/>
    <mergeCell ref="AG78:AY78"/>
    <mergeCell ref="A75:B75"/>
    <mergeCell ref="C75:F75"/>
    <mergeCell ref="G75:Y75"/>
    <mergeCell ref="AA75:AB75"/>
    <mergeCell ref="AC75:AF75"/>
    <mergeCell ref="AG75:AY75"/>
    <mergeCell ref="A76:B76"/>
    <mergeCell ref="C76:F76"/>
    <mergeCell ref="G76:Y76"/>
    <mergeCell ref="AA76:AB76"/>
    <mergeCell ref="AC76:AF76"/>
    <mergeCell ref="AG76:AY76"/>
    <mergeCell ref="A73:B73"/>
    <mergeCell ref="C73:F73"/>
    <mergeCell ref="G73:Y73"/>
    <mergeCell ref="AA73:AB73"/>
    <mergeCell ref="AC73:AF73"/>
    <mergeCell ref="AG73:AY73"/>
    <mergeCell ref="A74:B74"/>
    <mergeCell ref="C74:F74"/>
    <mergeCell ref="G74:Y74"/>
    <mergeCell ref="AA74:AB74"/>
    <mergeCell ref="AC74:AF74"/>
    <mergeCell ref="AG74:AY74"/>
    <mergeCell ref="A71:B71"/>
    <mergeCell ref="C71:F71"/>
    <mergeCell ref="G71:Y71"/>
    <mergeCell ref="AA71:AB71"/>
    <mergeCell ref="AC71:AF71"/>
    <mergeCell ref="AG71:AY71"/>
    <mergeCell ref="A72:B72"/>
    <mergeCell ref="C72:F72"/>
    <mergeCell ref="G72:Y72"/>
    <mergeCell ref="AA72:AB72"/>
    <mergeCell ref="AC72:AF72"/>
    <mergeCell ref="AG72:AY72"/>
    <mergeCell ref="A69:B69"/>
    <mergeCell ref="C69:F69"/>
    <mergeCell ref="G69:Y69"/>
    <mergeCell ref="AA69:AB69"/>
    <mergeCell ref="AC69:AF69"/>
    <mergeCell ref="AG69:AY69"/>
    <mergeCell ref="A70:B70"/>
    <mergeCell ref="C70:F70"/>
    <mergeCell ref="G70:Y70"/>
    <mergeCell ref="AA70:AB70"/>
    <mergeCell ref="AC70:AF70"/>
    <mergeCell ref="AG70:AY70"/>
    <mergeCell ref="AG66:AY66"/>
    <mergeCell ref="A67:B67"/>
    <mergeCell ref="C67:F67"/>
    <mergeCell ref="G67:Y67"/>
    <mergeCell ref="AA67:AB67"/>
    <mergeCell ref="AC67:AF67"/>
    <mergeCell ref="AG67:AY67"/>
    <mergeCell ref="A68:B68"/>
    <mergeCell ref="C68:F68"/>
    <mergeCell ref="G68:Y68"/>
    <mergeCell ref="AA68:AB68"/>
    <mergeCell ref="AC68:AF68"/>
    <mergeCell ref="AG68:AY68"/>
    <mergeCell ref="A64:B64"/>
    <mergeCell ref="C64:F64"/>
    <mergeCell ref="G64:Y64"/>
    <mergeCell ref="A65:B65"/>
    <mergeCell ref="C65:F65"/>
    <mergeCell ref="G65:Y65"/>
    <mergeCell ref="AA65:AB65"/>
    <mergeCell ref="AC65:AF65"/>
    <mergeCell ref="A66:B66"/>
    <mergeCell ref="C66:F66"/>
    <mergeCell ref="G66:Y66"/>
    <mergeCell ref="AA66:AB66"/>
    <mergeCell ref="AC66:AF66"/>
    <mergeCell ref="A62:B62"/>
    <mergeCell ref="C62:F62"/>
    <mergeCell ref="G62:Y62"/>
    <mergeCell ref="AA62:AB62"/>
    <mergeCell ref="AC62:AF62"/>
    <mergeCell ref="AG62:AY62"/>
    <mergeCell ref="A63:B63"/>
    <mergeCell ref="C63:F63"/>
    <mergeCell ref="G63:Y63"/>
    <mergeCell ref="AA63:AB63"/>
    <mergeCell ref="AC63:AF63"/>
    <mergeCell ref="AG63:AY63"/>
    <mergeCell ref="A60:B60"/>
    <mergeCell ref="C60:F60"/>
    <mergeCell ref="G60:Y60"/>
    <mergeCell ref="AA60:AB60"/>
    <mergeCell ref="AC60:AF60"/>
    <mergeCell ref="AG60:AY60"/>
    <mergeCell ref="A61:B61"/>
    <mergeCell ref="C61:F61"/>
    <mergeCell ref="G61:Y61"/>
    <mergeCell ref="AA61:AB61"/>
    <mergeCell ref="AC61:AF61"/>
    <mergeCell ref="AG61:AY61"/>
    <mergeCell ref="A58:B58"/>
    <mergeCell ref="C58:F58"/>
    <mergeCell ref="G58:Y58"/>
    <mergeCell ref="AA58:AB58"/>
    <mergeCell ref="AC58:AF58"/>
    <mergeCell ref="AG58:AY58"/>
    <mergeCell ref="A59:B59"/>
    <mergeCell ref="C59:F59"/>
    <mergeCell ref="G59:Y59"/>
    <mergeCell ref="AA59:AB59"/>
    <mergeCell ref="AC59:AF59"/>
    <mergeCell ref="AG59:AY59"/>
    <mergeCell ref="A56:B56"/>
    <mergeCell ref="C56:F56"/>
    <mergeCell ref="G56:Y56"/>
    <mergeCell ref="AA56:AB56"/>
    <mergeCell ref="AC56:AF56"/>
    <mergeCell ref="AG56:AY56"/>
    <mergeCell ref="A57:B57"/>
    <mergeCell ref="C57:F57"/>
    <mergeCell ref="G57:Y57"/>
    <mergeCell ref="AA57:AB57"/>
    <mergeCell ref="AC57:AF57"/>
    <mergeCell ref="AG57:AY57"/>
    <mergeCell ref="A53:B53"/>
    <mergeCell ref="C53:F53"/>
    <mergeCell ref="G53:Y53"/>
    <mergeCell ref="AA53:AB53"/>
    <mergeCell ref="AC53:AF53"/>
    <mergeCell ref="AG53:AY53"/>
    <mergeCell ref="A55:B55"/>
    <mergeCell ref="C55:F55"/>
    <mergeCell ref="AA55:AB55"/>
    <mergeCell ref="AC55:AF55"/>
    <mergeCell ref="A51:B51"/>
    <mergeCell ref="C51:F51"/>
    <mergeCell ref="G51:Y51"/>
    <mergeCell ref="AA51:AB51"/>
    <mergeCell ref="AC51:AF51"/>
    <mergeCell ref="AG51:AY51"/>
    <mergeCell ref="A52:B52"/>
    <mergeCell ref="C52:F52"/>
    <mergeCell ref="G52:Y52"/>
    <mergeCell ref="AA52:AB52"/>
    <mergeCell ref="AC52:AF52"/>
    <mergeCell ref="AG52:AY52"/>
    <mergeCell ref="A49:B49"/>
    <mergeCell ref="C49:F49"/>
    <mergeCell ref="G49:Y49"/>
    <mergeCell ref="AA49:AB49"/>
    <mergeCell ref="AC49:AF49"/>
    <mergeCell ref="AG49:AY49"/>
    <mergeCell ref="A50:B50"/>
    <mergeCell ref="C50:F50"/>
    <mergeCell ref="G50:Y50"/>
    <mergeCell ref="AA50:AB50"/>
    <mergeCell ref="AC50:AF50"/>
    <mergeCell ref="AG50:AY50"/>
    <mergeCell ref="A47:B47"/>
    <mergeCell ref="C47:F47"/>
    <mergeCell ref="G47:Y47"/>
    <mergeCell ref="AA47:AB47"/>
    <mergeCell ref="AC47:AF47"/>
    <mergeCell ref="AG47:AY47"/>
    <mergeCell ref="A48:B48"/>
    <mergeCell ref="C48:F48"/>
    <mergeCell ref="G48:Y48"/>
    <mergeCell ref="AA48:AB48"/>
    <mergeCell ref="AC48:AF48"/>
    <mergeCell ref="AG48:AY48"/>
    <mergeCell ref="A45:B45"/>
    <mergeCell ref="C45:F45"/>
    <mergeCell ref="G45:Y45"/>
    <mergeCell ref="AA45:AB45"/>
    <mergeCell ref="AC45:AF45"/>
    <mergeCell ref="AG45:AY45"/>
    <mergeCell ref="A46:B46"/>
    <mergeCell ref="C46:F46"/>
    <mergeCell ref="G46:Y46"/>
    <mergeCell ref="AA46:AB46"/>
    <mergeCell ref="AC46:AF46"/>
    <mergeCell ref="AG46:AY46"/>
    <mergeCell ref="A43:B43"/>
    <mergeCell ref="C43:F43"/>
    <mergeCell ref="G43:Y43"/>
    <mergeCell ref="AA43:AB43"/>
    <mergeCell ref="AC43:AF43"/>
    <mergeCell ref="AG43:AY43"/>
    <mergeCell ref="A44:B44"/>
    <mergeCell ref="C44:F44"/>
    <mergeCell ref="G44:Y44"/>
    <mergeCell ref="AA44:AB44"/>
    <mergeCell ref="AC44:AF44"/>
    <mergeCell ref="AG44:AY44"/>
    <mergeCell ref="AG40:AY40"/>
    <mergeCell ref="A41:B41"/>
    <mergeCell ref="C41:F41"/>
    <mergeCell ref="G41:Y41"/>
    <mergeCell ref="AA41:AB41"/>
    <mergeCell ref="AC41:AF41"/>
    <mergeCell ref="AG41:AY41"/>
    <mergeCell ref="A42:B42"/>
    <mergeCell ref="C42:F42"/>
    <mergeCell ref="G42:Y42"/>
    <mergeCell ref="AA42:AB42"/>
    <mergeCell ref="AC42:AF42"/>
    <mergeCell ref="AG42:AY42"/>
    <mergeCell ref="A38:B38"/>
    <mergeCell ref="C38:F38"/>
    <mergeCell ref="G38:Y38"/>
    <mergeCell ref="A39:B39"/>
    <mergeCell ref="C39:F39"/>
    <mergeCell ref="G39:Y39"/>
    <mergeCell ref="AA39:AB39"/>
    <mergeCell ref="AC39:AF39"/>
    <mergeCell ref="A40:B40"/>
    <mergeCell ref="C40:F40"/>
    <mergeCell ref="G40:Y40"/>
    <mergeCell ref="AA40:AB40"/>
    <mergeCell ref="AC40:AF40"/>
    <mergeCell ref="A36:B36"/>
    <mergeCell ref="C36:F36"/>
    <mergeCell ref="G36:Y36"/>
    <mergeCell ref="AA36:AB36"/>
    <mergeCell ref="AC36:AF36"/>
    <mergeCell ref="AG36:AY36"/>
    <mergeCell ref="A37:B37"/>
    <mergeCell ref="C37:F37"/>
    <mergeCell ref="G37:Y37"/>
    <mergeCell ref="AA37:AB37"/>
    <mergeCell ref="AC37:AF37"/>
    <mergeCell ref="AG37:AY37"/>
    <mergeCell ref="A34:B34"/>
    <mergeCell ref="C34:F34"/>
    <mergeCell ref="G34:Y34"/>
    <mergeCell ref="AA34:AB34"/>
    <mergeCell ref="AC34:AF34"/>
    <mergeCell ref="AG34:AY34"/>
    <mergeCell ref="A35:B35"/>
    <mergeCell ref="C35:F35"/>
    <mergeCell ref="G35:Y35"/>
    <mergeCell ref="AA35:AB35"/>
    <mergeCell ref="AC35:AF35"/>
    <mergeCell ref="AG35:AY35"/>
    <mergeCell ref="A32:B32"/>
    <mergeCell ref="C32:F32"/>
    <mergeCell ref="G32:Y32"/>
    <mergeCell ref="AA32:AB32"/>
    <mergeCell ref="AC32:AF32"/>
    <mergeCell ref="AG32:AY32"/>
    <mergeCell ref="A33:B33"/>
    <mergeCell ref="C33:F33"/>
    <mergeCell ref="G33:Y33"/>
    <mergeCell ref="AA33:AB33"/>
    <mergeCell ref="AC33:AF33"/>
    <mergeCell ref="AG33:AY33"/>
    <mergeCell ref="A30:B30"/>
    <mergeCell ref="C30:F30"/>
    <mergeCell ref="G30:Y30"/>
    <mergeCell ref="AA30:AB30"/>
    <mergeCell ref="AC30:AF30"/>
    <mergeCell ref="AG30:AY30"/>
    <mergeCell ref="A31:B31"/>
    <mergeCell ref="C31:F31"/>
    <mergeCell ref="G31:Y31"/>
    <mergeCell ref="AA31:AB31"/>
    <mergeCell ref="AC31:AF31"/>
    <mergeCell ref="AG31:AY31"/>
    <mergeCell ref="A27:B27"/>
    <mergeCell ref="C27:F27"/>
    <mergeCell ref="G27:Y27"/>
    <mergeCell ref="AA27:AB27"/>
    <mergeCell ref="AC27:AF27"/>
    <mergeCell ref="AG27:AY27"/>
    <mergeCell ref="A29:B29"/>
    <mergeCell ref="C29:F29"/>
    <mergeCell ref="AA29:AB29"/>
    <mergeCell ref="AC29:AF29"/>
    <mergeCell ref="A25:B25"/>
    <mergeCell ref="C25:F25"/>
    <mergeCell ref="G25:Y25"/>
    <mergeCell ref="AA25:AB25"/>
    <mergeCell ref="AC25:AF25"/>
    <mergeCell ref="AG25:AY25"/>
    <mergeCell ref="A26:B26"/>
    <mergeCell ref="C26:F26"/>
    <mergeCell ref="G26:Y26"/>
    <mergeCell ref="AA26:AB26"/>
    <mergeCell ref="AC26:AF26"/>
    <mergeCell ref="AG26:AY26"/>
    <mergeCell ref="A23:B23"/>
    <mergeCell ref="C23:F23"/>
    <mergeCell ref="G23:Y23"/>
    <mergeCell ref="AA23:AB23"/>
    <mergeCell ref="AC23:AF23"/>
    <mergeCell ref="AG23:AY23"/>
    <mergeCell ref="A24:B24"/>
    <mergeCell ref="C24:F24"/>
    <mergeCell ref="G24:Y24"/>
    <mergeCell ref="AA24:AB24"/>
    <mergeCell ref="AC24:AF24"/>
    <mergeCell ref="AG24:AY24"/>
    <mergeCell ref="A21:B21"/>
    <mergeCell ref="C21:F21"/>
    <mergeCell ref="G21:Y21"/>
    <mergeCell ref="AA21:AB21"/>
    <mergeCell ref="AC21:AF21"/>
    <mergeCell ref="AG21:AY21"/>
    <mergeCell ref="A22:B22"/>
    <mergeCell ref="C22:F22"/>
    <mergeCell ref="G22:Y22"/>
    <mergeCell ref="AA22:AB22"/>
    <mergeCell ref="AC22:AF22"/>
    <mergeCell ref="AG22:AY22"/>
    <mergeCell ref="A19:B19"/>
    <mergeCell ref="C19:F19"/>
    <mergeCell ref="G19:Y19"/>
    <mergeCell ref="AA19:AB19"/>
    <mergeCell ref="AC19:AF19"/>
    <mergeCell ref="AG19:AY19"/>
    <mergeCell ref="A20:B20"/>
    <mergeCell ref="C20:F20"/>
    <mergeCell ref="G20:Y20"/>
    <mergeCell ref="AA20:AB20"/>
    <mergeCell ref="AC20:AF20"/>
    <mergeCell ref="AG20:AY20"/>
    <mergeCell ref="A17:B17"/>
    <mergeCell ref="C17:F17"/>
    <mergeCell ref="G17:Y17"/>
    <mergeCell ref="AA17:AB17"/>
    <mergeCell ref="AC17:AF17"/>
    <mergeCell ref="AG17:AY17"/>
    <mergeCell ref="A18:B18"/>
    <mergeCell ref="C18:F18"/>
    <mergeCell ref="G18:Y18"/>
    <mergeCell ref="AA18:AB18"/>
    <mergeCell ref="AC18:AF18"/>
    <mergeCell ref="AG18:AY18"/>
    <mergeCell ref="AG14:AY14"/>
    <mergeCell ref="A15:B15"/>
    <mergeCell ref="C15:F15"/>
    <mergeCell ref="G15:Y15"/>
    <mergeCell ref="AA15:AB15"/>
    <mergeCell ref="AC15:AF15"/>
    <mergeCell ref="AG15:AY15"/>
    <mergeCell ref="A16:B16"/>
    <mergeCell ref="C16:F16"/>
    <mergeCell ref="G16:Y16"/>
    <mergeCell ref="AA16:AB16"/>
    <mergeCell ref="AC16:AF16"/>
    <mergeCell ref="AG16:AY16"/>
    <mergeCell ref="A13:B13"/>
    <mergeCell ref="C13:F13"/>
    <mergeCell ref="G13:Y13"/>
    <mergeCell ref="AA13:AB13"/>
    <mergeCell ref="AC13:AF13"/>
    <mergeCell ref="A14:B14"/>
    <mergeCell ref="C14:F14"/>
    <mergeCell ref="G14:Y14"/>
    <mergeCell ref="AA14:AB14"/>
    <mergeCell ref="AC14:AF14"/>
    <mergeCell ref="A11:B11"/>
    <mergeCell ref="C11:F11"/>
    <mergeCell ref="G11:Y11"/>
    <mergeCell ref="AA11:AB11"/>
    <mergeCell ref="AC11:AF11"/>
    <mergeCell ref="AG11:AY11"/>
    <mergeCell ref="A12:B12"/>
    <mergeCell ref="C12:F12"/>
    <mergeCell ref="G12:Y12"/>
    <mergeCell ref="A9:B9"/>
    <mergeCell ref="C9:F9"/>
    <mergeCell ref="G9:Y9"/>
    <mergeCell ref="AA9:AB9"/>
    <mergeCell ref="AC9:AF9"/>
    <mergeCell ref="AG9:AY9"/>
    <mergeCell ref="A10:B10"/>
    <mergeCell ref="C10:F10"/>
    <mergeCell ref="G10:Y10"/>
    <mergeCell ref="AA10:AB10"/>
    <mergeCell ref="AC10:AF10"/>
    <mergeCell ref="AG10:AY10"/>
    <mergeCell ref="A7:B7"/>
    <mergeCell ref="C7:F7"/>
    <mergeCell ref="G7:Y7"/>
    <mergeCell ref="AA7:AB7"/>
    <mergeCell ref="AC7:AF7"/>
    <mergeCell ref="AG7:AY7"/>
    <mergeCell ref="A8:B8"/>
    <mergeCell ref="C8:F8"/>
    <mergeCell ref="G8:Y8"/>
    <mergeCell ref="AA8:AB8"/>
    <mergeCell ref="AC8:AF8"/>
    <mergeCell ref="AG8:AY8"/>
    <mergeCell ref="A5:B5"/>
    <mergeCell ref="C5:F5"/>
    <mergeCell ref="G5:Y5"/>
    <mergeCell ref="AA5:AB5"/>
    <mergeCell ref="AC5:AF5"/>
    <mergeCell ref="AG5:AY5"/>
    <mergeCell ref="A6:B6"/>
    <mergeCell ref="C6:F6"/>
    <mergeCell ref="G6:Y6"/>
    <mergeCell ref="AA6:AB6"/>
    <mergeCell ref="AC6:AF6"/>
    <mergeCell ref="AG6:AY6"/>
    <mergeCell ref="A1:BB1"/>
    <mergeCell ref="A3:B3"/>
    <mergeCell ref="C3:F3"/>
    <mergeCell ref="AA3:AB3"/>
    <mergeCell ref="AC3:AF3"/>
    <mergeCell ref="A4:B4"/>
    <mergeCell ref="C4:F4"/>
    <mergeCell ref="G4:Y4"/>
    <mergeCell ref="AA4:AB4"/>
    <mergeCell ref="AC4:AF4"/>
    <mergeCell ref="AG4:AY4"/>
  </mergeCells>
  <dataValidations count="4">
    <dataValidation allowBlank="1" showInputMessage="1" showErrorMessage="1" sqref="AS12 B5:B10 B15:B20 B31:B36 B41:B46 B57:B62 B67:B72 B83:B88 B93:B98 AA12:AA13 AA38:AA39 AA64:AA65 AA90:AA91 AB4:AB27 AB30:AB53 AB56:AB79 AB82:AB105 AS38:AS39 AS64:AS65 AS90:AS91" xr:uid="{00000000-0002-0000-0200-000000000000}"/>
    <dataValidation type="list" allowBlank="1" showInputMessage="1" showErrorMessage="1" sqref="A4:A27 A30:A53 A56:A79 A82:A105 AA4:AA11 AA14:AA27 AA30:AA37 AA40:AA53 AA56:AA63 AA66:AA79 AA82:AA89 AA92:AA105" xr:uid="{00000000-0002-0000-0200-000001000000}">
      <formula1>"1,2,3,4,5,6,7,8,9,10,11,12,13,14,15,16,17,18,19,20"</formula1>
    </dataValidation>
    <dataValidation type="list" allowBlank="1" showInputMessage="1" showErrorMessage="1" sqref="S4:S27 S30:S53 S56:S79 S82:S105 AS4:AS11 AS13:AS27 AS30:AS37 AS40:AS53 AS56:AS63 AS66:AS79 AS82:AS89 AS92:AS105" xr:uid="{00000000-0002-0000-0200-000002000000}">
      <formula1>"守序善良,中立善良,混乱善良,守序中立,绝对中立,混乱中立,守序邪恶,中立邪恶,混乱邪恶"</formula1>
    </dataValidation>
    <dataValidation type="list" allowBlank="1" showInputMessage="1" sqref="AM12:AQ13 AM38:AQ39 AM64:AQ65 AM90:AQ91" xr:uid="{00000000-0002-0000-0200-000003000000}">
      <formula1>"魔能祈唤,吟唱,制造物品,创造法术,其它,战斗风格,法术风格,契灵"</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CC111"/>
  <sheetViews>
    <sheetView workbookViewId="0">
      <selection activeCell="AI6" sqref="AI6:AV6"/>
    </sheetView>
  </sheetViews>
  <sheetFormatPr defaultColWidth="2.7265625" defaultRowHeight="13.5" x14ac:dyDescent="0.1"/>
  <cols>
    <col min="1" max="79" width="2.7265625" customWidth="1"/>
    <col min="80" max="81" width="3.40625" hidden="1" customWidth="1"/>
    <col min="82" max="82" width="3.40625" customWidth="1"/>
    <col min="83" max="16368" width="2.7265625" customWidth="1"/>
  </cols>
  <sheetData>
    <row r="1" spans="1:81" ht="17.25" x14ac:dyDescent="0.1">
      <c r="A1" s="92" t="s">
        <v>170</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row>
    <row r="2" spans="1:81" ht="14.25" x14ac:dyDescent="0.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row>
    <row r="3" spans="1:81" ht="17.25" x14ac:dyDescent="0.1">
      <c r="A3" s="92" t="s">
        <v>171</v>
      </c>
      <c r="B3" s="92"/>
      <c r="C3" s="92"/>
      <c r="D3" s="92"/>
      <c r="E3" s="92"/>
      <c r="F3" s="92"/>
      <c r="G3" s="92"/>
      <c r="H3" s="92"/>
      <c r="I3" s="92"/>
      <c r="J3" s="92"/>
      <c r="K3" s="92"/>
      <c r="L3" s="92"/>
      <c r="M3" s="92"/>
      <c r="N3" s="92"/>
      <c r="O3" s="92"/>
      <c r="P3" s="92"/>
      <c r="Q3" s="92"/>
      <c r="R3" s="92"/>
      <c r="S3" s="92"/>
      <c r="T3" s="92"/>
      <c r="U3" s="92"/>
      <c r="V3" s="92"/>
      <c r="W3" s="92"/>
      <c r="X3" s="92"/>
      <c r="Y3" s="92"/>
      <c r="Z3" s="51"/>
      <c r="AA3" s="51"/>
      <c r="AB3" s="58"/>
      <c r="AC3" s="92" t="s">
        <v>172</v>
      </c>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row>
    <row r="4" spans="1:81" ht="14.25" x14ac:dyDescent="0.1">
      <c r="A4" s="64" t="s">
        <v>39</v>
      </c>
      <c r="B4" s="64"/>
      <c r="C4" s="64"/>
      <c r="D4" s="64"/>
      <c r="E4" s="186" t="s">
        <v>173</v>
      </c>
      <c r="F4" s="186"/>
      <c r="G4" s="186" t="s">
        <v>174</v>
      </c>
      <c r="H4" s="186"/>
      <c r="I4" s="186"/>
      <c r="J4" s="186"/>
      <c r="K4" s="186"/>
      <c r="L4" s="186"/>
      <c r="M4" s="186"/>
      <c r="N4" s="186"/>
      <c r="O4" s="186"/>
      <c r="P4" s="186"/>
      <c r="Q4" s="186"/>
      <c r="R4" s="186"/>
      <c r="S4" s="64" t="s">
        <v>175</v>
      </c>
      <c r="T4" s="64"/>
      <c r="U4" s="64"/>
      <c r="V4" s="51"/>
      <c r="W4" s="51"/>
      <c r="X4" s="64" t="s">
        <v>176</v>
      </c>
      <c r="Y4" s="64"/>
      <c r="Z4" s="51"/>
      <c r="AA4" s="51"/>
      <c r="AB4" s="51"/>
      <c r="AC4" s="64" t="s">
        <v>39</v>
      </c>
      <c r="AD4" s="64"/>
      <c r="AE4" s="64"/>
      <c r="AF4" s="64"/>
      <c r="AG4" s="64" t="s">
        <v>177</v>
      </c>
      <c r="AH4" s="64"/>
      <c r="AI4" s="64" t="s">
        <v>174</v>
      </c>
      <c r="AJ4" s="64"/>
      <c r="AK4" s="64"/>
      <c r="AL4" s="64"/>
      <c r="AM4" s="64"/>
      <c r="AN4" s="64"/>
      <c r="AO4" s="64"/>
      <c r="AP4" s="64"/>
      <c r="AQ4" s="64"/>
      <c r="AR4" s="64"/>
      <c r="AS4" s="64"/>
      <c r="AT4" s="64"/>
      <c r="AU4" s="64"/>
      <c r="AV4" s="64"/>
      <c r="AW4" s="64" t="s">
        <v>175</v>
      </c>
      <c r="AX4" s="64"/>
      <c r="AY4" s="64"/>
      <c r="AZ4" s="51"/>
      <c r="BA4" s="51"/>
      <c r="BB4" s="64" t="s">
        <v>176</v>
      </c>
      <c r="BC4" s="64"/>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row>
    <row r="5" spans="1:81" ht="14.25" x14ac:dyDescent="0.1">
      <c r="A5" s="95"/>
      <c r="B5" s="96"/>
      <c r="C5" s="96"/>
      <c r="D5" s="96"/>
      <c r="E5" s="131"/>
      <c r="F5" s="131"/>
      <c r="G5" s="94"/>
      <c r="H5" s="94"/>
      <c r="I5" s="94"/>
      <c r="J5" s="94"/>
      <c r="K5" s="94"/>
      <c r="L5" s="94"/>
      <c r="M5" s="94"/>
      <c r="N5" s="94"/>
      <c r="O5" s="94"/>
      <c r="P5" s="94"/>
      <c r="Q5" s="94"/>
      <c r="R5" s="94"/>
      <c r="S5" s="94" t="str">
        <f>IF($A5&lt;&gt;0,IF($E5&lt;&gt;0,VLOOKUP($E5,图表!$A$306:$C$317,3,0)+VLOOKUP($A5,图表!$A$330:$C$475,3,0),VLOOKUP($A5,图表!$A$330:$C$475,3,0)),"")</f>
        <v/>
      </c>
      <c r="T5" s="94"/>
      <c r="U5" s="94"/>
      <c r="V5" s="64" t="s">
        <v>180</v>
      </c>
      <c r="W5" s="64"/>
      <c r="X5" s="94"/>
      <c r="Y5" s="94"/>
      <c r="Z5" s="51"/>
      <c r="AA5" s="51"/>
      <c r="AB5" s="51"/>
      <c r="AC5" s="95"/>
      <c r="AD5" s="96"/>
      <c r="AE5" s="96"/>
      <c r="AF5" s="96"/>
      <c r="AG5" s="131" t="str">
        <f>IF($AC5&lt;&gt;0,VLOOKUP($AC5,图表!$E$330:$H$1139,2,0),"")</f>
        <v/>
      </c>
      <c r="AH5" s="131"/>
      <c r="AI5" s="94"/>
      <c r="AJ5" s="94"/>
      <c r="AK5" s="94"/>
      <c r="AL5" s="94"/>
      <c r="AM5" s="94"/>
      <c r="AN5" s="94"/>
      <c r="AO5" s="94"/>
      <c r="AP5" s="94"/>
      <c r="AQ5" s="94"/>
      <c r="AR5" s="94"/>
      <c r="AS5" s="94"/>
      <c r="AT5" s="94"/>
      <c r="AU5" s="94"/>
      <c r="AV5" s="94"/>
      <c r="AW5" s="94" t="str">
        <f>IF($AC5&lt;&gt;0,VLOOKUP($AC5,图表!$E$330:$H$1139,4,0),"")</f>
        <v/>
      </c>
      <c r="AX5" s="94"/>
      <c r="AY5" s="94"/>
      <c r="AZ5" s="64" t="s">
        <v>180</v>
      </c>
      <c r="BA5" s="64"/>
      <c r="BB5" s="94"/>
      <c r="BC5" s="94"/>
      <c r="BD5" s="51"/>
      <c r="BE5" s="51"/>
      <c r="BF5" s="51"/>
      <c r="BG5" s="51"/>
      <c r="BH5" s="51"/>
      <c r="BI5" s="51"/>
      <c r="BJ5" s="51"/>
      <c r="BK5" s="51"/>
      <c r="BL5" s="51"/>
      <c r="BM5" s="51"/>
      <c r="BN5" s="51"/>
      <c r="BO5" s="51"/>
      <c r="BP5" s="51"/>
      <c r="BQ5" s="51"/>
      <c r="BR5" s="51"/>
      <c r="BS5" s="51"/>
      <c r="BT5" s="51"/>
      <c r="BU5" s="51"/>
      <c r="BV5" s="51"/>
      <c r="BW5" s="51"/>
      <c r="BX5" s="51"/>
      <c r="BY5" s="51"/>
      <c r="BZ5" s="51"/>
      <c r="CA5" s="51"/>
      <c r="CB5" s="51" t="str">
        <f>IF(S5&lt;&gt;"",S5*X5,"")</f>
        <v/>
      </c>
      <c r="CC5" s="51" t="str">
        <f>IF(AW5&lt;&gt;"",AW5*BB5,"")</f>
        <v/>
      </c>
    </row>
    <row r="6" spans="1:81" ht="14.25" x14ac:dyDescent="0.1">
      <c r="A6" s="95"/>
      <c r="B6" s="96"/>
      <c r="C6" s="96"/>
      <c r="D6" s="96"/>
      <c r="E6" s="131"/>
      <c r="F6" s="131"/>
      <c r="G6" s="94"/>
      <c r="H6" s="94"/>
      <c r="I6" s="94"/>
      <c r="J6" s="94"/>
      <c r="K6" s="94"/>
      <c r="L6" s="94"/>
      <c r="M6" s="94"/>
      <c r="N6" s="94"/>
      <c r="O6" s="94"/>
      <c r="P6" s="94"/>
      <c r="Q6" s="94"/>
      <c r="R6" s="94"/>
      <c r="S6" s="94" t="str">
        <f>IF($A6&lt;&gt;0,IF($E6&lt;&gt;0,VLOOKUP($E6,图表!$A$306:$C$317,3,0)+VLOOKUP($A6,图表!$A$330:$C$475,3,0),VLOOKUP($A6,图表!$A$330:$C$475,3,0)),"")</f>
        <v/>
      </c>
      <c r="T6" s="94"/>
      <c r="U6" s="94"/>
      <c r="V6" s="64" t="s">
        <v>180</v>
      </c>
      <c r="W6" s="64"/>
      <c r="X6" s="94"/>
      <c r="Y6" s="94"/>
      <c r="Z6" s="51"/>
      <c r="AA6" s="51"/>
      <c r="AB6" s="51"/>
      <c r="AC6" s="95"/>
      <c r="AD6" s="96"/>
      <c r="AE6" s="96"/>
      <c r="AF6" s="96"/>
      <c r="AG6" s="131" t="str">
        <f>IF($AC6&lt;&gt;0,VLOOKUP($AC6,图表!$E$330:$H$1139,2,0),"")</f>
        <v/>
      </c>
      <c r="AH6" s="131"/>
      <c r="AI6" s="94"/>
      <c r="AJ6" s="94"/>
      <c r="AK6" s="94"/>
      <c r="AL6" s="94"/>
      <c r="AM6" s="94"/>
      <c r="AN6" s="94"/>
      <c r="AO6" s="94"/>
      <c r="AP6" s="94"/>
      <c r="AQ6" s="94"/>
      <c r="AR6" s="94"/>
      <c r="AS6" s="94"/>
      <c r="AT6" s="94"/>
      <c r="AU6" s="94"/>
      <c r="AV6" s="94"/>
      <c r="AW6" s="94" t="str">
        <f>IF($AC6&lt;&gt;0,VLOOKUP($AC6,图表!$E$330:$H$1139,4,0),"")</f>
        <v/>
      </c>
      <c r="AX6" s="94"/>
      <c r="AY6" s="94"/>
      <c r="AZ6" s="64" t="s">
        <v>180</v>
      </c>
      <c r="BA6" s="64"/>
      <c r="BB6" s="94"/>
      <c r="BC6" s="94"/>
      <c r="BD6" s="51"/>
      <c r="BE6" s="51"/>
      <c r="BF6" s="51"/>
      <c r="BG6" s="51"/>
      <c r="BH6" s="51"/>
      <c r="BI6" s="51"/>
      <c r="BJ6" s="51"/>
      <c r="BK6" s="51"/>
      <c r="BL6" s="51"/>
      <c r="BM6" s="51"/>
      <c r="BN6" s="51"/>
      <c r="BO6" s="51"/>
      <c r="BP6" s="51"/>
      <c r="BQ6" s="51"/>
      <c r="BR6" s="51"/>
      <c r="BS6" s="51"/>
      <c r="BT6" s="51"/>
      <c r="BU6" s="51"/>
      <c r="BV6" s="51"/>
      <c r="BW6" s="51"/>
      <c r="BX6" s="51"/>
      <c r="BY6" s="51"/>
      <c r="BZ6" s="51"/>
      <c r="CA6" s="51"/>
      <c r="CB6" s="51" t="str">
        <f t="shared" ref="CB6:CB25" si="0">IF(S6&lt;&gt;"",S6*X6,"")</f>
        <v/>
      </c>
      <c r="CC6" s="51" t="str">
        <f t="shared" ref="CC6:CC25" si="1">IF(AW6&lt;&gt;"",AW6*BB6,"")</f>
        <v/>
      </c>
    </row>
    <row r="7" spans="1:81" ht="14.25" x14ac:dyDescent="0.1">
      <c r="A7" s="95"/>
      <c r="B7" s="96"/>
      <c r="C7" s="96"/>
      <c r="D7" s="96"/>
      <c r="E7" s="131"/>
      <c r="F7" s="131"/>
      <c r="G7" s="94"/>
      <c r="H7" s="94"/>
      <c r="I7" s="94"/>
      <c r="J7" s="94"/>
      <c r="K7" s="94"/>
      <c r="L7" s="94"/>
      <c r="M7" s="94"/>
      <c r="N7" s="94"/>
      <c r="O7" s="94"/>
      <c r="P7" s="94"/>
      <c r="Q7" s="94"/>
      <c r="R7" s="94"/>
      <c r="S7" s="94" t="str">
        <f>IF($A7&lt;&gt;0,IF($E7&lt;&gt;0,VLOOKUP($E7,图表!$A$306:$C$317,3,0)+VLOOKUP($A7,图表!$A$330:$C$475,3,0),VLOOKUP($A7,图表!$A$330:$C$475,3,0)),"")</f>
        <v/>
      </c>
      <c r="T7" s="94"/>
      <c r="U7" s="94"/>
      <c r="V7" s="64" t="s">
        <v>180</v>
      </c>
      <c r="W7" s="64"/>
      <c r="X7" s="94"/>
      <c r="Y7" s="94"/>
      <c r="Z7" s="51"/>
      <c r="AA7" s="51"/>
      <c r="AB7" s="51"/>
      <c r="AC7" s="95"/>
      <c r="AD7" s="96"/>
      <c r="AE7" s="96"/>
      <c r="AF7" s="96"/>
      <c r="AG7" s="131" t="str">
        <f>IF($AC7&lt;&gt;0,VLOOKUP($AC7,图表!$E$330:$H$1139,2,0),"")</f>
        <v/>
      </c>
      <c r="AH7" s="131"/>
      <c r="AI7" s="94"/>
      <c r="AJ7" s="94"/>
      <c r="AK7" s="94"/>
      <c r="AL7" s="94"/>
      <c r="AM7" s="94"/>
      <c r="AN7" s="94"/>
      <c r="AO7" s="94"/>
      <c r="AP7" s="94"/>
      <c r="AQ7" s="94"/>
      <c r="AR7" s="94"/>
      <c r="AS7" s="94"/>
      <c r="AT7" s="94"/>
      <c r="AU7" s="94"/>
      <c r="AV7" s="94"/>
      <c r="AW7" s="94" t="str">
        <f>IF($AC7&lt;&gt;0,VLOOKUP($AC7,图表!$E$330:$H$1139,4,0),"")</f>
        <v/>
      </c>
      <c r="AX7" s="94"/>
      <c r="AY7" s="94"/>
      <c r="AZ7" s="64" t="s">
        <v>180</v>
      </c>
      <c r="BA7" s="64"/>
      <c r="BB7" s="94"/>
      <c r="BC7" s="94"/>
      <c r="BD7" s="51"/>
      <c r="BE7" s="51"/>
      <c r="BF7" s="51"/>
      <c r="BG7" s="51"/>
      <c r="BH7" s="51"/>
      <c r="BI7" s="51"/>
      <c r="BJ7" s="51"/>
      <c r="BK7" s="51"/>
      <c r="BL7" s="51"/>
      <c r="BM7" s="51"/>
      <c r="BN7" s="51"/>
      <c r="BO7" s="51"/>
      <c r="BP7" s="51"/>
      <c r="BQ7" s="51"/>
      <c r="BR7" s="51"/>
      <c r="BS7" s="51"/>
      <c r="BT7" s="51"/>
      <c r="BU7" s="51"/>
      <c r="BV7" s="51"/>
      <c r="BW7" s="51"/>
      <c r="BX7" s="51"/>
      <c r="BY7" s="51"/>
      <c r="BZ7" s="51"/>
      <c r="CA7" s="51"/>
      <c r="CB7" s="51" t="str">
        <f t="shared" si="0"/>
        <v/>
      </c>
      <c r="CC7" s="51" t="str">
        <f t="shared" si="1"/>
        <v/>
      </c>
    </row>
    <row r="8" spans="1:81" ht="14.25" x14ac:dyDescent="0.1">
      <c r="A8" s="95"/>
      <c r="B8" s="96"/>
      <c r="C8" s="96"/>
      <c r="D8" s="96"/>
      <c r="E8" s="131"/>
      <c r="F8" s="131"/>
      <c r="G8" s="94"/>
      <c r="H8" s="94"/>
      <c r="I8" s="94"/>
      <c r="J8" s="94"/>
      <c r="K8" s="94"/>
      <c r="L8" s="94"/>
      <c r="M8" s="94"/>
      <c r="N8" s="94"/>
      <c r="O8" s="94"/>
      <c r="P8" s="94"/>
      <c r="Q8" s="94"/>
      <c r="R8" s="94"/>
      <c r="S8" s="94" t="str">
        <f>IF($A8&lt;&gt;0,IF($E8&lt;&gt;0,VLOOKUP($E8,图表!$A$306:$C$317,3,0)+VLOOKUP($A8,图表!$A$330:$C$475,3,0),VLOOKUP($A8,图表!$A$330:$C$475,3,0)),"")</f>
        <v/>
      </c>
      <c r="T8" s="94"/>
      <c r="U8" s="94"/>
      <c r="V8" s="64" t="s">
        <v>180</v>
      </c>
      <c r="W8" s="64"/>
      <c r="X8" s="94"/>
      <c r="Y8" s="94"/>
      <c r="Z8" s="51"/>
      <c r="AA8" s="51"/>
      <c r="AB8" s="51"/>
      <c r="AC8" s="95"/>
      <c r="AD8" s="96"/>
      <c r="AE8" s="96"/>
      <c r="AF8" s="96"/>
      <c r="AG8" s="131" t="str">
        <f>IF($AC8&lt;&gt;0,VLOOKUP($AC8,图表!$E$330:$H$1139,2,0),"")</f>
        <v/>
      </c>
      <c r="AH8" s="131"/>
      <c r="AI8" s="94"/>
      <c r="AJ8" s="94"/>
      <c r="AK8" s="94"/>
      <c r="AL8" s="94"/>
      <c r="AM8" s="94"/>
      <c r="AN8" s="94"/>
      <c r="AO8" s="94"/>
      <c r="AP8" s="94"/>
      <c r="AQ8" s="94"/>
      <c r="AR8" s="94"/>
      <c r="AS8" s="94"/>
      <c r="AT8" s="94"/>
      <c r="AU8" s="94"/>
      <c r="AV8" s="94"/>
      <c r="AW8" s="94" t="str">
        <f>IF($AC8&lt;&gt;0,VLOOKUP($AC8,图表!$E$330:$H$1139,4,0),"")</f>
        <v/>
      </c>
      <c r="AX8" s="94"/>
      <c r="AY8" s="94"/>
      <c r="AZ8" s="64" t="s">
        <v>180</v>
      </c>
      <c r="BA8" s="64"/>
      <c r="BB8" s="94"/>
      <c r="BC8" s="94"/>
      <c r="BD8" s="51"/>
      <c r="BE8" s="51"/>
      <c r="BF8" s="51"/>
      <c r="BG8" s="51"/>
      <c r="BH8" s="51"/>
      <c r="BI8" s="51"/>
      <c r="BJ8" s="51"/>
      <c r="BK8" s="51"/>
      <c r="BL8" s="51"/>
      <c r="BM8" s="51"/>
      <c r="BN8" s="51"/>
      <c r="BO8" s="51"/>
      <c r="BP8" s="51"/>
      <c r="BQ8" s="51"/>
      <c r="BR8" s="51"/>
      <c r="BS8" s="51"/>
      <c r="BT8" s="51"/>
      <c r="BU8" s="51"/>
      <c r="BV8" s="51"/>
      <c r="BW8" s="51"/>
      <c r="BX8" s="51"/>
      <c r="BY8" s="51"/>
      <c r="BZ8" s="51"/>
      <c r="CA8" s="51"/>
      <c r="CB8" s="51" t="str">
        <f t="shared" si="0"/>
        <v/>
      </c>
      <c r="CC8" s="51" t="str">
        <f t="shared" si="1"/>
        <v/>
      </c>
    </row>
    <row r="9" spans="1:81" ht="14.25" x14ac:dyDescent="0.1">
      <c r="A9" s="95"/>
      <c r="B9" s="96"/>
      <c r="C9" s="96"/>
      <c r="D9" s="96"/>
      <c r="E9" s="131"/>
      <c r="F9" s="131"/>
      <c r="G9" s="94"/>
      <c r="H9" s="94"/>
      <c r="I9" s="94"/>
      <c r="J9" s="94"/>
      <c r="K9" s="94"/>
      <c r="L9" s="94"/>
      <c r="M9" s="94"/>
      <c r="N9" s="94"/>
      <c r="O9" s="94"/>
      <c r="P9" s="94"/>
      <c r="Q9" s="94"/>
      <c r="R9" s="94"/>
      <c r="S9" s="94" t="str">
        <f>IF($A9&lt;&gt;0,IF($E9&lt;&gt;0,VLOOKUP($E9,图表!$A$306:$C$317,3,0)+VLOOKUP($A9,图表!$A$330:$C$475,3,0),VLOOKUP($A9,图表!$A$330:$C$475,3,0)),"")</f>
        <v/>
      </c>
      <c r="T9" s="94"/>
      <c r="U9" s="94"/>
      <c r="V9" s="64" t="s">
        <v>180</v>
      </c>
      <c r="W9" s="64"/>
      <c r="X9" s="94"/>
      <c r="Y9" s="94"/>
      <c r="Z9" s="51"/>
      <c r="AA9" s="51"/>
      <c r="AB9" s="51"/>
      <c r="AC9" s="95"/>
      <c r="AD9" s="96"/>
      <c r="AE9" s="96"/>
      <c r="AF9" s="96"/>
      <c r="AG9" s="131" t="str">
        <f>IF($AC9&lt;&gt;0,VLOOKUP($AC9,图表!$E$330:$H$1139,2,0),"")</f>
        <v/>
      </c>
      <c r="AH9" s="131"/>
      <c r="AI9" s="94"/>
      <c r="AJ9" s="94"/>
      <c r="AK9" s="94"/>
      <c r="AL9" s="94"/>
      <c r="AM9" s="94"/>
      <c r="AN9" s="94"/>
      <c r="AO9" s="94"/>
      <c r="AP9" s="94"/>
      <c r="AQ9" s="94"/>
      <c r="AR9" s="94"/>
      <c r="AS9" s="94"/>
      <c r="AT9" s="94"/>
      <c r="AU9" s="94"/>
      <c r="AV9" s="94"/>
      <c r="AW9" s="94" t="str">
        <f>IF($AC9&lt;&gt;0,VLOOKUP($AC9,图表!$E$330:$H$1139,4,0),"")</f>
        <v/>
      </c>
      <c r="AX9" s="94"/>
      <c r="AY9" s="94"/>
      <c r="AZ9" s="64" t="s">
        <v>180</v>
      </c>
      <c r="BA9" s="64"/>
      <c r="BB9" s="94"/>
      <c r="BC9" s="94"/>
      <c r="BD9" s="51"/>
      <c r="BE9" s="51"/>
      <c r="BF9" s="51"/>
      <c r="BG9" s="51"/>
      <c r="BH9" s="51"/>
      <c r="BI9" s="51"/>
      <c r="BJ9" s="51"/>
      <c r="BK9" s="51"/>
      <c r="BL9" s="51"/>
      <c r="BM9" s="51"/>
      <c r="BN9" s="51"/>
      <c r="BO9" s="51"/>
      <c r="BP9" s="51"/>
      <c r="BQ9" s="51"/>
      <c r="BR9" s="51"/>
      <c r="BS9" s="51"/>
      <c r="BT9" s="51"/>
      <c r="BU9" s="51"/>
      <c r="BV9" s="51"/>
      <c r="BW9" s="51"/>
      <c r="BX9" s="51"/>
      <c r="BY9" s="51"/>
      <c r="BZ9" s="51"/>
      <c r="CA9" s="51"/>
      <c r="CB9" s="51" t="str">
        <f t="shared" si="0"/>
        <v/>
      </c>
      <c r="CC9" s="51" t="str">
        <f t="shared" si="1"/>
        <v/>
      </c>
    </row>
    <row r="10" spans="1:81" ht="14.25" x14ac:dyDescent="0.1">
      <c r="A10" s="95"/>
      <c r="B10" s="96"/>
      <c r="C10" s="96"/>
      <c r="D10" s="96"/>
      <c r="E10" s="131"/>
      <c r="F10" s="131"/>
      <c r="G10" s="94"/>
      <c r="H10" s="94"/>
      <c r="I10" s="94"/>
      <c r="J10" s="94"/>
      <c r="K10" s="94"/>
      <c r="L10" s="94"/>
      <c r="M10" s="94"/>
      <c r="N10" s="94"/>
      <c r="O10" s="94"/>
      <c r="P10" s="94"/>
      <c r="Q10" s="94"/>
      <c r="R10" s="94"/>
      <c r="S10" s="94" t="str">
        <f>IF($A10&lt;&gt;0,IF($E10&lt;&gt;0,VLOOKUP($E10,图表!$A$306:$C$317,3,0)+VLOOKUP($A10,图表!$A$330:$C$475,3,0),VLOOKUP($A10,图表!$A$330:$C$475,3,0)),"")</f>
        <v/>
      </c>
      <c r="T10" s="94"/>
      <c r="U10" s="94"/>
      <c r="V10" s="64" t="s">
        <v>180</v>
      </c>
      <c r="W10" s="64"/>
      <c r="X10" s="94"/>
      <c r="Y10" s="94"/>
      <c r="Z10" s="51"/>
      <c r="AA10" s="51"/>
      <c r="AB10" s="51"/>
      <c r="AC10" s="95"/>
      <c r="AD10" s="96"/>
      <c r="AE10" s="96"/>
      <c r="AF10" s="96"/>
      <c r="AG10" s="131" t="str">
        <f>IF($AC10&lt;&gt;0,VLOOKUP($AC10,图表!$E$330:$H$1139,2,0),"")</f>
        <v/>
      </c>
      <c r="AH10" s="131"/>
      <c r="AI10" s="94"/>
      <c r="AJ10" s="94"/>
      <c r="AK10" s="94"/>
      <c r="AL10" s="94"/>
      <c r="AM10" s="94"/>
      <c r="AN10" s="94"/>
      <c r="AO10" s="94"/>
      <c r="AP10" s="94"/>
      <c r="AQ10" s="94"/>
      <c r="AR10" s="94"/>
      <c r="AS10" s="94"/>
      <c r="AT10" s="94"/>
      <c r="AU10" s="94"/>
      <c r="AV10" s="94"/>
      <c r="AW10" s="94" t="str">
        <f>IF($AC10&lt;&gt;0,VLOOKUP($AC10,图表!$E$330:$H$1139,4,0),"")</f>
        <v/>
      </c>
      <c r="AX10" s="94"/>
      <c r="AY10" s="94"/>
      <c r="AZ10" s="64" t="s">
        <v>180</v>
      </c>
      <c r="BA10" s="64"/>
      <c r="BB10" s="94"/>
      <c r="BC10" s="94"/>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t="str">
        <f t="shared" si="0"/>
        <v/>
      </c>
      <c r="CC10" s="51" t="str">
        <f t="shared" si="1"/>
        <v/>
      </c>
    </row>
    <row r="11" spans="1:81" ht="14.25" x14ac:dyDescent="0.1">
      <c r="A11" s="95"/>
      <c r="B11" s="96"/>
      <c r="C11" s="96"/>
      <c r="D11" s="96"/>
      <c r="E11" s="131"/>
      <c r="F11" s="131"/>
      <c r="G11" s="94"/>
      <c r="H11" s="94"/>
      <c r="I11" s="94"/>
      <c r="J11" s="94"/>
      <c r="K11" s="94"/>
      <c r="L11" s="94"/>
      <c r="M11" s="94"/>
      <c r="N11" s="94"/>
      <c r="O11" s="94"/>
      <c r="P11" s="94"/>
      <c r="Q11" s="94"/>
      <c r="R11" s="94"/>
      <c r="S11" s="94" t="str">
        <f>IF($A11&lt;&gt;0,IF($E11&lt;&gt;0,VLOOKUP($E11,图表!$A$306:$C$317,3,0)+VLOOKUP($A11,图表!$A$330:$C$475,3,0),VLOOKUP($A11,图表!$A$330:$C$475,3,0)),"")</f>
        <v/>
      </c>
      <c r="T11" s="94"/>
      <c r="U11" s="94"/>
      <c r="V11" s="64" t="s">
        <v>180</v>
      </c>
      <c r="W11" s="64"/>
      <c r="X11" s="94"/>
      <c r="Y11" s="94"/>
      <c r="Z11" s="51"/>
      <c r="AA11" s="51"/>
      <c r="AB11" s="51"/>
      <c r="AC11" s="95"/>
      <c r="AD11" s="96"/>
      <c r="AE11" s="96"/>
      <c r="AF11" s="96"/>
      <c r="AG11" s="131" t="str">
        <f>IF($AC11&lt;&gt;0,VLOOKUP($AC11,图表!$E$330:$H$1139,2,0),"")</f>
        <v/>
      </c>
      <c r="AH11" s="131"/>
      <c r="AI11" s="94"/>
      <c r="AJ11" s="94"/>
      <c r="AK11" s="94"/>
      <c r="AL11" s="94"/>
      <c r="AM11" s="94"/>
      <c r="AN11" s="94"/>
      <c r="AO11" s="94"/>
      <c r="AP11" s="94"/>
      <c r="AQ11" s="94"/>
      <c r="AR11" s="94"/>
      <c r="AS11" s="94"/>
      <c r="AT11" s="94"/>
      <c r="AU11" s="94"/>
      <c r="AV11" s="94"/>
      <c r="AW11" s="94" t="str">
        <f>IF($AC11&lt;&gt;0,VLOOKUP($AC11,图表!$E$330:$H$1139,4,0),"")</f>
        <v/>
      </c>
      <c r="AX11" s="94"/>
      <c r="AY11" s="94"/>
      <c r="AZ11" s="64" t="s">
        <v>180</v>
      </c>
      <c r="BA11" s="64"/>
      <c r="BB11" s="94"/>
      <c r="BC11" s="94"/>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t="str">
        <f t="shared" si="0"/>
        <v/>
      </c>
      <c r="CC11" s="51" t="str">
        <f t="shared" si="1"/>
        <v/>
      </c>
    </row>
    <row r="12" spans="1:81" ht="14.25" x14ac:dyDescent="0.1">
      <c r="A12" s="95"/>
      <c r="B12" s="96"/>
      <c r="C12" s="96"/>
      <c r="D12" s="96"/>
      <c r="E12" s="131"/>
      <c r="F12" s="131"/>
      <c r="G12" s="94"/>
      <c r="H12" s="94"/>
      <c r="I12" s="94"/>
      <c r="J12" s="94"/>
      <c r="K12" s="94"/>
      <c r="L12" s="94"/>
      <c r="M12" s="94"/>
      <c r="N12" s="94"/>
      <c r="O12" s="94"/>
      <c r="P12" s="94"/>
      <c r="Q12" s="94"/>
      <c r="R12" s="94"/>
      <c r="S12" s="94" t="str">
        <f>IF($A12&lt;&gt;0,IF($E12&lt;&gt;0,VLOOKUP($E12,图表!$A$306:$C$317,3,0)+VLOOKUP($A12,图表!$A$330:$C$475,3,0),VLOOKUP($A12,图表!$A$330:$C$475,3,0)),"")</f>
        <v/>
      </c>
      <c r="T12" s="94"/>
      <c r="U12" s="94"/>
      <c r="V12" s="64" t="s">
        <v>180</v>
      </c>
      <c r="W12" s="64"/>
      <c r="X12" s="94"/>
      <c r="Y12" s="94"/>
      <c r="Z12" s="51"/>
      <c r="AA12" s="51"/>
      <c r="AB12" s="51"/>
      <c r="AC12" s="95"/>
      <c r="AD12" s="96"/>
      <c r="AE12" s="96"/>
      <c r="AF12" s="96"/>
      <c r="AG12" s="131" t="str">
        <f>IF($AC12&lt;&gt;0,VLOOKUP($AC12,图表!$E$330:$H$1139,2,0),"")</f>
        <v/>
      </c>
      <c r="AH12" s="131"/>
      <c r="AI12" s="94"/>
      <c r="AJ12" s="94"/>
      <c r="AK12" s="94"/>
      <c r="AL12" s="94"/>
      <c r="AM12" s="94"/>
      <c r="AN12" s="94"/>
      <c r="AO12" s="94"/>
      <c r="AP12" s="94"/>
      <c r="AQ12" s="94"/>
      <c r="AR12" s="94"/>
      <c r="AS12" s="94"/>
      <c r="AT12" s="94"/>
      <c r="AU12" s="94"/>
      <c r="AV12" s="94"/>
      <c r="AW12" s="94" t="str">
        <f>IF($AC12&lt;&gt;0,VLOOKUP($AC12,图表!$E$330:$H$1139,4,0),"")</f>
        <v/>
      </c>
      <c r="AX12" s="94"/>
      <c r="AY12" s="94"/>
      <c r="AZ12" s="64" t="s">
        <v>180</v>
      </c>
      <c r="BA12" s="64"/>
      <c r="BB12" s="94"/>
      <c r="BC12" s="94"/>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t="str">
        <f t="shared" si="0"/>
        <v/>
      </c>
      <c r="CC12" s="51" t="str">
        <f t="shared" si="1"/>
        <v/>
      </c>
    </row>
    <row r="13" spans="1:81" ht="14.25" x14ac:dyDescent="0.1">
      <c r="A13" s="95"/>
      <c r="B13" s="96"/>
      <c r="C13" s="96"/>
      <c r="D13" s="96"/>
      <c r="E13" s="131"/>
      <c r="F13" s="131"/>
      <c r="G13" s="94"/>
      <c r="H13" s="94"/>
      <c r="I13" s="94"/>
      <c r="J13" s="94"/>
      <c r="K13" s="94"/>
      <c r="L13" s="94"/>
      <c r="M13" s="94"/>
      <c r="N13" s="94"/>
      <c r="O13" s="94"/>
      <c r="P13" s="94"/>
      <c r="Q13" s="94"/>
      <c r="R13" s="94"/>
      <c r="S13" s="94" t="str">
        <f>IF($A13&lt;&gt;0,IF($E13&lt;&gt;0,VLOOKUP($E13,图表!$A$306:$C$317,3,0)+VLOOKUP($A13,图表!$A$330:$C$475,3,0),VLOOKUP($A13,图表!$A$330:$C$475,3,0)),"")</f>
        <v/>
      </c>
      <c r="T13" s="94"/>
      <c r="U13" s="94"/>
      <c r="V13" s="64" t="s">
        <v>180</v>
      </c>
      <c r="W13" s="64"/>
      <c r="X13" s="94"/>
      <c r="Y13" s="94"/>
      <c r="Z13" s="51"/>
      <c r="AA13" s="51"/>
      <c r="AB13" s="51"/>
      <c r="AC13" s="95"/>
      <c r="AD13" s="96"/>
      <c r="AE13" s="96"/>
      <c r="AF13" s="96"/>
      <c r="AG13" s="131" t="str">
        <f>IF($AC13&lt;&gt;0,VLOOKUP($AC13,图表!$E$330:$H$1139,2,0),"")</f>
        <v/>
      </c>
      <c r="AH13" s="131"/>
      <c r="AI13" s="94"/>
      <c r="AJ13" s="94"/>
      <c r="AK13" s="94"/>
      <c r="AL13" s="94"/>
      <c r="AM13" s="94"/>
      <c r="AN13" s="94"/>
      <c r="AO13" s="94"/>
      <c r="AP13" s="94"/>
      <c r="AQ13" s="94"/>
      <c r="AR13" s="94"/>
      <c r="AS13" s="94"/>
      <c r="AT13" s="94"/>
      <c r="AU13" s="94"/>
      <c r="AV13" s="94"/>
      <c r="AW13" s="94" t="str">
        <f>IF($AC13&lt;&gt;0,VLOOKUP($AC13,图表!$E$330:$H$1139,4,0),"")</f>
        <v/>
      </c>
      <c r="AX13" s="94"/>
      <c r="AY13" s="94"/>
      <c r="AZ13" s="64" t="s">
        <v>180</v>
      </c>
      <c r="BA13" s="64"/>
      <c r="BB13" s="94"/>
      <c r="BC13" s="94"/>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t="str">
        <f t="shared" si="0"/>
        <v/>
      </c>
      <c r="CC13" s="51" t="str">
        <f t="shared" si="1"/>
        <v/>
      </c>
    </row>
    <row r="14" spans="1:81" ht="14.25" x14ac:dyDescent="0.1">
      <c r="A14" s="95"/>
      <c r="B14" s="96"/>
      <c r="C14" s="96"/>
      <c r="D14" s="96"/>
      <c r="E14" s="131"/>
      <c r="F14" s="131"/>
      <c r="G14" s="94"/>
      <c r="H14" s="94"/>
      <c r="I14" s="94"/>
      <c r="J14" s="94"/>
      <c r="K14" s="94"/>
      <c r="L14" s="94"/>
      <c r="M14" s="94"/>
      <c r="N14" s="94"/>
      <c r="O14" s="94"/>
      <c r="P14" s="94"/>
      <c r="Q14" s="94"/>
      <c r="R14" s="94"/>
      <c r="S14" s="94" t="str">
        <f>IF($A14&lt;&gt;0,IF($E14&lt;&gt;0,VLOOKUP($E14,图表!$A$306:$C$317,3,0)+VLOOKUP($A14,图表!$A$330:$C$475,3,0),VLOOKUP($A14,图表!$A$330:$C$475,3,0)),"")</f>
        <v/>
      </c>
      <c r="T14" s="94"/>
      <c r="U14" s="94"/>
      <c r="V14" s="64" t="s">
        <v>180</v>
      </c>
      <c r="W14" s="64"/>
      <c r="X14" s="94"/>
      <c r="Y14" s="94"/>
      <c r="Z14" s="51"/>
      <c r="AA14" s="51"/>
      <c r="AB14" s="51"/>
      <c r="AC14" s="95"/>
      <c r="AD14" s="96"/>
      <c r="AE14" s="96"/>
      <c r="AF14" s="96"/>
      <c r="AG14" s="131" t="str">
        <f>IF($AC14&lt;&gt;0,VLOOKUP($AC14,图表!$E$330:$H$1139,2,0),"")</f>
        <v/>
      </c>
      <c r="AH14" s="131"/>
      <c r="AI14" s="94"/>
      <c r="AJ14" s="94"/>
      <c r="AK14" s="94"/>
      <c r="AL14" s="94"/>
      <c r="AM14" s="94"/>
      <c r="AN14" s="94"/>
      <c r="AO14" s="94"/>
      <c r="AP14" s="94"/>
      <c r="AQ14" s="94"/>
      <c r="AR14" s="94"/>
      <c r="AS14" s="94"/>
      <c r="AT14" s="94"/>
      <c r="AU14" s="94"/>
      <c r="AV14" s="94"/>
      <c r="AW14" s="94" t="str">
        <f>IF($AC14&lt;&gt;0,VLOOKUP($AC14,图表!$E$330:$H$1139,4,0),"")</f>
        <v/>
      </c>
      <c r="AX14" s="94"/>
      <c r="AY14" s="94"/>
      <c r="AZ14" s="64" t="s">
        <v>180</v>
      </c>
      <c r="BA14" s="64"/>
      <c r="BB14" s="94"/>
      <c r="BC14" s="94"/>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t="str">
        <f t="shared" si="0"/>
        <v/>
      </c>
      <c r="CC14" s="51" t="str">
        <f t="shared" si="1"/>
        <v/>
      </c>
    </row>
    <row r="15" spans="1:81" ht="14.25" x14ac:dyDescent="0.1">
      <c r="A15" s="95"/>
      <c r="B15" s="96"/>
      <c r="C15" s="96"/>
      <c r="D15" s="96"/>
      <c r="E15" s="131"/>
      <c r="F15" s="131"/>
      <c r="G15" s="94"/>
      <c r="H15" s="94"/>
      <c r="I15" s="94"/>
      <c r="J15" s="94"/>
      <c r="K15" s="94"/>
      <c r="L15" s="94"/>
      <c r="M15" s="94"/>
      <c r="N15" s="94"/>
      <c r="O15" s="94"/>
      <c r="P15" s="94"/>
      <c r="Q15" s="94"/>
      <c r="R15" s="94"/>
      <c r="S15" s="94" t="str">
        <f>IF($A15&lt;&gt;0,IF($E15&lt;&gt;0,VLOOKUP($E15,图表!$A$306:$C$317,3,0)+VLOOKUP($A15,图表!$A$330:$C$475,3,0),VLOOKUP($A15,图表!$A$330:$C$475,3,0)),"")</f>
        <v/>
      </c>
      <c r="T15" s="94"/>
      <c r="U15" s="94"/>
      <c r="V15" s="64" t="s">
        <v>180</v>
      </c>
      <c r="W15" s="64"/>
      <c r="X15" s="94"/>
      <c r="Y15" s="94"/>
      <c r="Z15" s="51"/>
      <c r="AA15" s="51"/>
      <c r="AB15" s="51"/>
      <c r="AC15" s="95"/>
      <c r="AD15" s="96"/>
      <c r="AE15" s="96"/>
      <c r="AF15" s="96"/>
      <c r="AG15" s="131" t="str">
        <f>IF($AC15&lt;&gt;0,VLOOKUP($AC15,图表!$E$330:$H$1139,2,0),"")</f>
        <v/>
      </c>
      <c r="AH15" s="131"/>
      <c r="AI15" s="94"/>
      <c r="AJ15" s="94"/>
      <c r="AK15" s="94"/>
      <c r="AL15" s="94"/>
      <c r="AM15" s="94"/>
      <c r="AN15" s="94"/>
      <c r="AO15" s="94"/>
      <c r="AP15" s="94"/>
      <c r="AQ15" s="94"/>
      <c r="AR15" s="94"/>
      <c r="AS15" s="94"/>
      <c r="AT15" s="94"/>
      <c r="AU15" s="94"/>
      <c r="AV15" s="94"/>
      <c r="AW15" s="94" t="str">
        <f>IF($AC15&lt;&gt;0,VLOOKUP($AC15,图表!$E$330:$H$1139,4,0),"")</f>
        <v/>
      </c>
      <c r="AX15" s="94"/>
      <c r="AY15" s="94"/>
      <c r="AZ15" s="64" t="s">
        <v>180</v>
      </c>
      <c r="BA15" s="64"/>
      <c r="BB15" s="94"/>
      <c r="BC15" s="94"/>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t="str">
        <f t="shared" si="0"/>
        <v/>
      </c>
      <c r="CC15" s="51" t="str">
        <f t="shared" si="1"/>
        <v/>
      </c>
    </row>
    <row r="16" spans="1:81" ht="14.25" x14ac:dyDescent="0.1">
      <c r="A16" s="95"/>
      <c r="B16" s="96"/>
      <c r="C16" s="96"/>
      <c r="D16" s="96"/>
      <c r="E16" s="131"/>
      <c r="F16" s="131"/>
      <c r="G16" s="94"/>
      <c r="H16" s="94"/>
      <c r="I16" s="94"/>
      <c r="J16" s="94"/>
      <c r="K16" s="94"/>
      <c r="L16" s="94"/>
      <c r="M16" s="94"/>
      <c r="N16" s="94"/>
      <c r="O16" s="94"/>
      <c r="P16" s="94"/>
      <c r="Q16" s="94"/>
      <c r="R16" s="94"/>
      <c r="S16" s="94" t="str">
        <f>IF($A16&lt;&gt;0,IF($E16&lt;&gt;0,VLOOKUP($E16,图表!$A$306:$C$317,3,0)+VLOOKUP($A16,图表!$A$330:$C$475,3,0),VLOOKUP($A16,图表!$A$330:$C$475,3,0)),"")</f>
        <v/>
      </c>
      <c r="T16" s="94"/>
      <c r="U16" s="94"/>
      <c r="V16" s="64" t="s">
        <v>180</v>
      </c>
      <c r="W16" s="64"/>
      <c r="X16" s="94"/>
      <c r="Y16" s="94"/>
      <c r="Z16" s="51"/>
      <c r="AA16" s="51"/>
      <c r="AB16" s="51"/>
      <c r="AC16" s="95"/>
      <c r="AD16" s="96"/>
      <c r="AE16" s="96"/>
      <c r="AF16" s="96"/>
      <c r="AG16" s="131" t="str">
        <f>IF($AC16&lt;&gt;0,VLOOKUP($AC16,图表!$E$330:$H$1139,2,0),"")</f>
        <v/>
      </c>
      <c r="AH16" s="131"/>
      <c r="AI16" s="94"/>
      <c r="AJ16" s="94"/>
      <c r="AK16" s="94"/>
      <c r="AL16" s="94"/>
      <c r="AM16" s="94"/>
      <c r="AN16" s="94"/>
      <c r="AO16" s="94"/>
      <c r="AP16" s="94"/>
      <c r="AQ16" s="94"/>
      <c r="AR16" s="94"/>
      <c r="AS16" s="94"/>
      <c r="AT16" s="94"/>
      <c r="AU16" s="94"/>
      <c r="AV16" s="94"/>
      <c r="AW16" s="94" t="str">
        <f>IF($AC16&lt;&gt;0,VLOOKUP($AC16,图表!$E$330:$H$1139,4,0),"")</f>
        <v/>
      </c>
      <c r="AX16" s="94"/>
      <c r="AY16" s="94"/>
      <c r="AZ16" s="64" t="s">
        <v>180</v>
      </c>
      <c r="BA16" s="64"/>
      <c r="BB16" s="94"/>
      <c r="BC16" s="94"/>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t="str">
        <f t="shared" si="0"/>
        <v/>
      </c>
      <c r="CC16" s="51" t="str">
        <f t="shared" si="1"/>
        <v/>
      </c>
    </row>
    <row r="17" spans="1:81" ht="14.25" x14ac:dyDescent="0.1">
      <c r="A17" s="95"/>
      <c r="B17" s="96"/>
      <c r="C17" s="96"/>
      <c r="D17" s="96"/>
      <c r="E17" s="131"/>
      <c r="F17" s="131"/>
      <c r="G17" s="94"/>
      <c r="H17" s="94"/>
      <c r="I17" s="94"/>
      <c r="J17" s="94"/>
      <c r="K17" s="94"/>
      <c r="L17" s="94"/>
      <c r="M17" s="94"/>
      <c r="N17" s="94"/>
      <c r="O17" s="94"/>
      <c r="P17" s="94"/>
      <c r="Q17" s="94"/>
      <c r="R17" s="94"/>
      <c r="S17" s="94" t="str">
        <f>IF($A17&lt;&gt;0,IF($E17&lt;&gt;0,VLOOKUP($E17,图表!$A$306:$C$317,3,0)+VLOOKUP($A17,图表!$A$330:$C$475,3,0),VLOOKUP($A17,图表!$A$330:$C$475,3,0)),"")</f>
        <v/>
      </c>
      <c r="T17" s="94"/>
      <c r="U17" s="94"/>
      <c r="V17" s="64" t="s">
        <v>180</v>
      </c>
      <c r="W17" s="64"/>
      <c r="X17" s="94"/>
      <c r="Y17" s="94"/>
      <c r="Z17" s="51"/>
      <c r="AA17" s="51"/>
      <c r="AB17" s="51"/>
      <c r="AC17" s="95"/>
      <c r="AD17" s="96"/>
      <c r="AE17" s="96"/>
      <c r="AF17" s="96"/>
      <c r="AG17" s="131" t="str">
        <f>IF($AC17&lt;&gt;0,VLOOKUP($AC17,图表!$E$330:$H$1139,2,0),"")</f>
        <v/>
      </c>
      <c r="AH17" s="131"/>
      <c r="AI17" s="94"/>
      <c r="AJ17" s="94"/>
      <c r="AK17" s="94"/>
      <c r="AL17" s="94"/>
      <c r="AM17" s="94"/>
      <c r="AN17" s="94"/>
      <c r="AO17" s="94"/>
      <c r="AP17" s="94"/>
      <c r="AQ17" s="94"/>
      <c r="AR17" s="94"/>
      <c r="AS17" s="94"/>
      <c r="AT17" s="94"/>
      <c r="AU17" s="94"/>
      <c r="AV17" s="94"/>
      <c r="AW17" s="94" t="str">
        <f>IF($AC17&lt;&gt;0,VLOOKUP($AC17,图表!$E$330:$H$1139,4,0),"")</f>
        <v/>
      </c>
      <c r="AX17" s="94"/>
      <c r="AY17" s="94"/>
      <c r="AZ17" s="64" t="s">
        <v>180</v>
      </c>
      <c r="BA17" s="64"/>
      <c r="BB17" s="94"/>
      <c r="BC17" s="94"/>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t="str">
        <f t="shared" si="0"/>
        <v/>
      </c>
      <c r="CC17" s="51" t="str">
        <f t="shared" si="1"/>
        <v/>
      </c>
    </row>
    <row r="18" spans="1:81" ht="14.25" x14ac:dyDescent="0.1">
      <c r="A18" s="95"/>
      <c r="B18" s="96"/>
      <c r="C18" s="96"/>
      <c r="D18" s="96"/>
      <c r="E18" s="131"/>
      <c r="F18" s="131"/>
      <c r="G18" s="94"/>
      <c r="H18" s="94"/>
      <c r="I18" s="94"/>
      <c r="J18" s="94"/>
      <c r="K18" s="94"/>
      <c r="L18" s="94"/>
      <c r="M18" s="94"/>
      <c r="N18" s="94"/>
      <c r="O18" s="94"/>
      <c r="P18" s="94"/>
      <c r="Q18" s="94"/>
      <c r="R18" s="94"/>
      <c r="S18" s="94" t="str">
        <f>IF($A18&lt;&gt;0,IF($E18&lt;&gt;0,VLOOKUP($E18,图表!$A$306:$C$317,3,0)+VLOOKUP($A18,图表!$A$330:$C$475,3,0),VLOOKUP($A18,图表!$A$330:$C$475,3,0)),"")</f>
        <v/>
      </c>
      <c r="T18" s="94"/>
      <c r="U18" s="94"/>
      <c r="V18" s="64" t="s">
        <v>180</v>
      </c>
      <c r="W18" s="64"/>
      <c r="X18" s="94"/>
      <c r="Y18" s="94"/>
      <c r="Z18" s="51"/>
      <c r="AA18" s="51"/>
      <c r="AB18" s="51"/>
      <c r="AC18" s="95"/>
      <c r="AD18" s="96"/>
      <c r="AE18" s="96"/>
      <c r="AF18" s="96"/>
      <c r="AG18" s="131" t="str">
        <f>IF($AC18&lt;&gt;0,VLOOKUP($AC18,图表!$E$330:$H$1139,2,0),"")</f>
        <v/>
      </c>
      <c r="AH18" s="131"/>
      <c r="AI18" s="94"/>
      <c r="AJ18" s="94"/>
      <c r="AK18" s="94"/>
      <c r="AL18" s="94"/>
      <c r="AM18" s="94"/>
      <c r="AN18" s="94"/>
      <c r="AO18" s="94"/>
      <c r="AP18" s="94"/>
      <c r="AQ18" s="94"/>
      <c r="AR18" s="94"/>
      <c r="AS18" s="94"/>
      <c r="AT18" s="94"/>
      <c r="AU18" s="94"/>
      <c r="AV18" s="94"/>
      <c r="AW18" s="94" t="str">
        <f>IF($AC18&lt;&gt;0,VLOOKUP($AC18,图表!$E$330:$H$1139,4,0),"")</f>
        <v/>
      </c>
      <c r="AX18" s="94"/>
      <c r="AY18" s="94"/>
      <c r="AZ18" s="64" t="s">
        <v>180</v>
      </c>
      <c r="BA18" s="64"/>
      <c r="BB18" s="94"/>
      <c r="BC18" s="94"/>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t="str">
        <f t="shared" si="0"/>
        <v/>
      </c>
      <c r="CC18" s="51" t="str">
        <f t="shared" si="1"/>
        <v/>
      </c>
    </row>
    <row r="19" spans="1:81" ht="14.25" x14ac:dyDescent="0.1">
      <c r="A19" s="95"/>
      <c r="B19" s="96"/>
      <c r="C19" s="96"/>
      <c r="D19" s="96"/>
      <c r="E19" s="131"/>
      <c r="F19" s="131"/>
      <c r="G19" s="94"/>
      <c r="H19" s="94"/>
      <c r="I19" s="94"/>
      <c r="J19" s="94"/>
      <c r="K19" s="94"/>
      <c r="L19" s="94"/>
      <c r="M19" s="94"/>
      <c r="N19" s="94"/>
      <c r="O19" s="94"/>
      <c r="P19" s="94"/>
      <c r="Q19" s="94"/>
      <c r="R19" s="94"/>
      <c r="S19" s="94" t="str">
        <f>IF($A19&lt;&gt;0,IF($E19&lt;&gt;0,VLOOKUP($E19,图表!$A$306:$C$317,3,0)+VLOOKUP($A19,图表!$A$330:$C$475,3,0),VLOOKUP($A19,图表!$A$330:$C$475,3,0)),"")</f>
        <v/>
      </c>
      <c r="T19" s="94"/>
      <c r="U19" s="94"/>
      <c r="V19" s="64" t="s">
        <v>180</v>
      </c>
      <c r="W19" s="64"/>
      <c r="X19" s="94"/>
      <c r="Y19" s="94"/>
      <c r="Z19" s="51"/>
      <c r="AA19" s="51"/>
      <c r="AB19" s="51"/>
      <c r="AC19" s="95"/>
      <c r="AD19" s="96"/>
      <c r="AE19" s="96"/>
      <c r="AF19" s="96"/>
      <c r="AG19" s="131" t="str">
        <f>IF($AC19&lt;&gt;0,VLOOKUP($AC19,图表!$E$330:$H$1139,2,0),"")</f>
        <v/>
      </c>
      <c r="AH19" s="131"/>
      <c r="AI19" s="94"/>
      <c r="AJ19" s="94"/>
      <c r="AK19" s="94"/>
      <c r="AL19" s="94"/>
      <c r="AM19" s="94"/>
      <c r="AN19" s="94"/>
      <c r="AO19" s="94"/>
      <c r="AP19" s="94"/>
      <c r="AQ19" s="94"/>
      <c r="AR19" s="94"/>
      <c r="AS19" s="94"/>
      <c r="AT19" s="94"/>
      <c r="AU19" s="94"/>
      <c r="AV19" s="94"/>
      <c r="AW19" s="94" t="str">
        <f>IF($AC19&lt;&gt;0,VLOOKUP($AC19,图表!$E$330:$H$1139,4,0),"")</f>
        <v/>
      </c>
      <c r="AX19" s="94"/>
      <c r="AY19" s="94"/>
      <c r="AZ19" s="64" t="s">
        <v>180</v>
      </c>
      <c r="BA19" s="64"/>
      <c r="BB19" s="94"/>
      <c r="BC19" s="94"/>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t="str">
        <f t="shared" si="0"/>
        <v/>
      </c>
      <c r="CC19" s="51" t="str">
        <f t="shared" si="1"/>
        <v/>
      </c>
    </row>
    <row r="20" spans="1:81" ht="14.25" x14ac:dyDescent="0.1">
      <c r="A20" s="95"/>
      <c r="B20" s="96"/>
      <c r="C20" s="96"/>
      <c r="D20" s="96"/>
      <c r="E20" s="131"/>
      <c r="F20" s="131"/>
      <c r="G20" s="94"/>
      <c r="H20" s="94"/>
      <c r="I20" s="94"/>
      <c r="J20" s="94"/>
      <c r="K20" s="94"/>
      <c r="L20" s="94"/>
      <c r="M20" s="94"/>
      <c r="N20" s="94"/>
      <c r="O20" s="94"/>
      <c r="P20" s="94"/>
      <c r="Q20" s="94"/>
      <c r="R20" s="94"/>
      <c r="S20" s="94" t="str">
        <f>IF($A20&lt;&gt;0,IF($E20&lt;&gt;0,VLOOKUP($E20,图表!$A$306:$C$317,3,0)+VLOOKUP($A20,图表!$A$330:$C$475,3,0),VLOOKUP($A20,图表!$A$330:$C$475,3,0)),"")</f>
        <v/>
      </c>
      <c r="T20" s="94"/>
      <c r="U20" s="94"/>
      <c r="V20" s="64" t="s">
        <v>180</v>
      </c>
      <c r="W20" s="64"/>
      <c r="X20" s="94"/>
      <c r="Y20" s="94"/>
      <c r="Z20" s="51"/>
      <c r="AA20" s="51"/>
      <c r="AB20" s="51"/>
      <c r="AC20" s="95"/>
      <c r="AD20" s="96"/>
      <c r="AE20" s="96"/>
      <c r="AF20" s="96"/>
      <c r="AG20" s="131" t="str">
        <f>IF($AC20&lt;&gt;0,VLOOKUP($AC20,图表!$E$330:$H$1139,2,0),"")</f>
        <v/>
      </c>
      <c r="AH20" s="131"/>
      <c r="AI20" s="94"/>
      <c r="AJ20" s="94"/>
      <c r="AK20" s="94"/>
      <c r="AL20" s="94"/>
      <c r="AM20" s="94"/>
      <c r="AN20" s="94"/>
      <c r="AO20" s="94"/>
      <c r="AP20" s="94"/>
      <c r="AQ20" s="94"/>
      <c r="AR20" s="94"/>
      <c r="AS20" s="94"/>
      <c r="AT20" s="94"/>
      <c r="AU20" s="94"/>
      <c r="AV20" s="94"/>
      <c r="AW20" s="94" t="str">
        <f>IF($AC20&lt;&gt;0,VLOOKUP($AC20,图表!$E$330:$H$1139,4,0),"")</f>
        <v/>
      </c>
      <c r="AX20" s="94"/>
      <c r="AY20" s="94"/>
      <c r="AZ20" s="64" t="s">
        <v>180</v>
      </c>
      <c r="BA20" s="64"/>
      <c r="BB20" s="94"/>
      <c r="BC20" s="94"/>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t="str">
        <f t="shared" si="0"/>
        <v/>
      </c>
      <c r="CC20" s="51" t="str">
        <f t="shared" si="1"/>
        <v/>
      </c>
    </row>
    <row r="21" spans="1:81" ht="14.25" x14ac:dyDescent="0.1">
      <c r="A21" s="95"/>
      <c r="B21" s="96"/>
      <c r="C21" s="96"/>
      <c r="D21" s="96"/>
      <c r="E21" s="131"/>
      <c r="F21" s="131"/>
      <c r="G21" s="94"/>
      <c r="H21" s="94"/>
      <c r="I21" s="94"/>
      <c r="J21" s="94"/>
      <c r="K21" s="94"/>
      <c r="L21" s="94"/>
      <c r="M21" s="94"/>
      <c r="N21" s="94"/>
      <c r="O21" s="94"/>
      <c r="P21" s="94"/>
      <c r="Q21" s="94"/>
      <c r="R21" s="94"/>
      <c r="S21" s="94" t="str">
        <f>IF($A21&lt;&gt;0,IF($E21&lt;&gt;0,VLOOKUP($E21,图表!$A$306:$C$317,3,0)+VLOOKUP($A21,图表!$A$330:$C$475,3,0),VLOOKUP($A21,图表!$A$330:$C$475,3,0)),"")</f>
        <v/>
      </c>
      <c r="T21" s="94"/>
      <c r="U21" s="94"/>
      <c r="V21" s="64" t="s">
        <v>180</v>
      </c>
      <c r="W21" s="64"/>
      <c r="X21" s="94"/>
      <c r="Y21" s="94"/>
      <c r="Z21" s="51"/>
      <c r="AA21" s="51"/>
      <c r="AB21" s="51"/>
      <c r="AC21" s="95"/>
      <c r="AD21" s="96"/>
      <c r="AE21" s="96"/>
      <c r="AF21" s="96"/>
      <c r="AG21" s="131" t="str">
        <f>IF($AC21&lt;&gt;0,VLOOKUP($AC21,图表!$E$330:$H$1139,2,0),"")</f>
        <v/>
      </c>
      <c r="AH21" s="131"/>
      <c r="AI21" s="94"/>
      <c r="AJ21" s="94"/>
      <c r="AK21" s="94"/>
      <c r="AL21" s="94"/>
      <c r="AM21" s="94"/>
      <c r="AN21" s="94"/>
      <c r="AO21" s="94"/>
      <c r="AP21" s="94"/>
      <c r="AQ21" s="94"/>
      <c r="AR21" s="94"/>
      <c r="AS21" s="94"/>
      <c r="AT21" s="94"/>
      <c r="AU21" s="94"/>
      <c r="AV21" s="94"/>
      <c r="AW21" s="94" t="str">
        <f>IF($AC21&lt;&gt;0,VLOOKUP($AC21,图表!$E$330:$H$1139,4,0),"")</f>
        <v/>
      </c>
      <c r="AX21" s="94"/>
      <c r="AY21" s="94"/>
      <c r="AZ21" s="64" t="s">
        <v>180</v>
      </c>
      <c r="BA21" s="64"/>
      <c r="BB21" s="94"/>
      <c r="BC21" s="94"/>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t="str">
        <f t="shared" si="0"/>
        <v/>
      </c>
      <c r="CC21" s="51" t="str">
        <f t="shared" si="1"/>
        <v/>
      </c>
    </row>
    <row r="22" spans="1:81" ht="14.25" x14ac:dyDescent="0.1">
      <c r="A22" s="95"/>
      <c r="B22" s="96"/>
      <c r="C22" s="96"/>
      <c r="D22" s="96"/>
      <c r="E22" s="131"/>
      <c r="F22" s="131"/>
      <c r="G22" s="94"/>
      <c r="H22" s="94"/>
      <c r="I22" s="94"/>
      <c r="J22" s="94"/>
      <c r="K22" s="94"/>
      <c r="L22" s="94"/>
      <c r="M22" s="94"/>
      <c r="N22" s="94"/>
      <c r="O22" s="94"/>
      <c r="P22" s="94"/>
      <c r="Q22" s="94"/>
      <c r="R22" s="94"/>
      <c r="S22" s="94" t="str">
        <f>IF($A22&lt;&gt;0,IF($E22&lt;&gt;0,VLOOKUP($E22,图表!$A$306:$C$317,3,0)+VLOOKUP($A22,图表!$A$330:$C$475,3,0),VLOOKUP($A22,图表!$A$330:$C$475,3,0)),"")</f>
        <v/>
      </c>
      <c r="T22" s="94"/>
      <c r="U22" s="94"/>
      <c r="V22" s="64" t="s">
        <v>180</v>
      </c>
      <c r="W22" s="64"/>
      <c r="X22" s="94"/>
      <c r="Y22" s="94"/>
      <c r="Z22" s="51"/>
      <c r="AA22" s="51"/>
      <c r="AB22" s="51"/>
      <c r="AC22" s="95"/>
      <c r="AD22" s="96"/>
      <c r="AE22" s="96"/>
      <c r="AF22" s="96"/>
      <c r="AG22" s="131" t="str">
        <f>IF($AC22&lt;&gt;0,VLOOKUP($AC22,图表!$E$330:$H$1139,2,0),"")</f>
        <v/>
      </c>
      <c r="AH22" s="131"/>
      <c r="AI22" s="94"/>
      <c r="AJ22" s="94"/>
      <c r="AK22" s="94"/>
      <c r="AL22" s="94"/>
      <c r="AM22" s="94"/>
      <c r="AN22" s="94"/>
      <c r="AO22" s="94"/>
      <c r="AP22" s="94"/>
      <c r="AQ22" s="94"/>
      <c r="AR22" s="94"/>
      <c r="AS22" s="94"/>
      <c r="AT22" s="94"/>
      <c r="AU22" s="94"/>
      <c r="AV22" s="94"/>
      <c r="AW22" s="94" t="str">
        <f>IF($AC22&lt;&gt;0,VLOOKUP($AC22,图表!$E$330:$H$1139,4,0),"")</f>
        <v/>
      </c>
      <c r="AX22" s="94"/>
      <c r="AY22" s="94"/>
      <c r="AZ22" s="64" t="s">
        <v>180</v>
      </c>
      <c r="BA22" s="64"/>
      <c r="BB22" s="94"/>
      <c r="BC22" s="94"/>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t="str">
        <f t="shared" si="0"/>
        <v/>
      </c>
      <c r="CC22" s="51" t="str">
        <f t="shared" si="1"/>
        <v/>
      </c>
    </row>
    <row r="23" spans="1:81" ht="14.25" x14ac:dyDescent="0.1">
      <c r="A23" s="95"/>
      <c r="B23" s="96"/>
      <c r="C23" s="96"/>
      <c r="D23" s="96"/>
      <c r="E23" s="131"/>
      <c r="F23" s="131"/>
      <c r="G23" s="94"/>
      <c r="H23" s="94"/>
      <c r="I23" s="94"/>
      <c r="J23" s="94"/>
      <c r="K23" s="94"/>
      <c r="L23" s="94"/>
      <c r="M23" s="94"/>
      <c r="N23" s="94"/>
      <c r="O23" s="94"/>
      <c r="P23" s="94"/>
      <c r="Q23" s="94"/>
      <c r="R23" s="94"/>
      <c r="S23" s="94" t="str">
        <f>IF($A23&lt;&gt;0,IF($E23&lt;&gt;0,VLOOKUP($E23,图表!$A$306:$C$317,3,0)+VLOOKUP($A23,图表!$A$330:$C$475,3,0),VLOOKUP($A23,图表!$A$330:$C$475,3,0)),"")</f>
        <v/>
      </c>
      <c r="T23" s="94"/>
      <c r="U23" s="94"/>
      <c r="V23" s="64" t="s">
        <v>180</v>
      </c>
      <c r="W23" s="64"/>
      <c r="X23" s="94"/>
      <c r="Y23" s="94"/>
      <c r="Z23" s="51"/>
      <c r="AA23" s="51"/>
      <c r="AB23" s="51"/>
      <c r="AC23" s="95"/>
      <c r="AD23" s="96"/>
      <c r="AE23" s="96"/>
      <c r="AF23" s="96"/>
      <c r="AG23" s="131" t="str">
        <f>IF($AC23&lt;&gt;0,VLOOKUP($AC23,图表!$E$330:$H$1139,2,0),"")</f>
        <v/>
      </c>
      <c r="AH23" s="131"/>
      <c r="AI23" s="94"/>
      <c r="AJ23" s="94"/>
      <c r="AK23" s="94"/>
      <c r="AL23" s="94"/>
      <c r="AM23" s="94"/>
      <c r="AN23" s="94"/>
      <c r="AO23" s="94"/>
      <c r="AP23" s="94"/>
      <c r="AQ23" s="94"/>
      <c r="AR23" s="94"/>
      <c r="AS23" s="94"/>
      <c r="AT23" s="94"/>
      <c r="AU23" s="94"/>
      <c r="AV23" s="94"/>
      <c r="AW23" s="94" t="str">
        <f>IF($AC23&lt;&gt;0,VLOOKUP($AC23,图表!$E$330:$H$1139,4,0),"")</f>
        <v/>
      </c>
      <c r="AX23" s="94"/>
      <c r="AY23" s="94"/>
      <c r="AZ23" s="64" t="s">
        <v>180</v>
      </c>
      <c r="BA23" s="64"/>
      <c r="BB23" s="94"/>
      <c r="BC23" s="94"/>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t="str">
        <f t="shared" si="0"/>
        <v/>
      </c>
      <c r="CC23" s="51" t="str">
        <f t="shared" si="1"/>
        <v/>
      </c>
    </row>
    <row r="24" spans="1:81" ht="14.25" x14ac:dyDescent="0.1">
      <c r="A24" s="95"/>
      <c r="B24" s="96"/>
      <c r="C24" s="96"/>
      <c r="D24" s="96"/>
      <c r="E24" s="131"/>
      <c r="F24" s="131"/>
      <c r="G24" s="94"/>
      <c r="H24" s="94"/>
      <c r="I24" s="94"/>
      <c r="J24" s="94"/>
      <c r="K24" s="94"/>
      <c r="L24" s="94"/>
      <c r="M24" s="94"/>
      <c r="N24" s="94"/>
      <c r="O24" s="94"/>
      <c r="P24" s="94"/>
      <c r="Q24" s="94"/>
      <c r="R24" s="94"/>
      <c r="S24" s="94" t="str">
        <f>IF($A24&lt;&gt;0,IF($E24&lt;&gt;0,VLOOKUP($E24,图表!$A$306:$C$317,3,0)+VLOOKUP($A24,图表!$A$330:$C$475,3,0),VLOOKUP($A24,图表!$A$330:$C$475,3,0)),"")</f>
        <v/>
      </c>
      <c r="T24" s="94"/>
      <c r="U24" s="94"/>
      <c r="V24" s="64" t="s">
        <v>180</v>
      </c>
      <c r="W24" s="64"/>
      <c r="X24" s="94"/>
      <c r="Y24" s="94"/>
      <c r="Z24" s="51"/>
      <c r="AA24" s="51"/>
      <c r="AB24" s="51"/>
      <c r="AC24" s="95"/>
      <c r="AD24" s="96"/>
      <c r="AE24" s="96"/>
      <c r="AF24" s="96"/>
      <c r="AG24" s="131" t="str">
        <f>IF($AC24&lt;&gt;0,VLOOKUP($AC24,图表!$E$330:$H$1139,2,0),"")</f>
        <v/>
      </c>
      <c r="AH24" s="131"/>
      <c r="AI24" s="94"/>
      <c r="AJ24" s="94"/>
      <c r="AK24" s="94"/>
      <c r="AL24" s="94"/>
      <c r="AM24" s="94"/>
      <c r="AN24" s="94"/>
      <c r="AO24" s="94"/>
      <c r="AP24" s="94"/>
      <c r="AQ24" s="94"/>
      <c r="AR24" s="94"/>
      <c r="AS24" s="94"/>
      <c r="AT24" s="94"/>
      <c r="AU24" s="94"/>
      <c r="AV24" s="94"/>
      <c r="AW24" s="94" t="str">
        <f>IF($AC24&lt;&gt;0,VLOOKUP($AC24,图表!$E$330:$H$1139,4,0),"")</f>
        <v/>
      </c>
      <c r="AX24" s="94"/>
      <c r="AY24" s="94"/>
      <c r="AZ24" s="64" t="s">
        <v>180</v>
      </c>
      <c r="BA24" s="64"/>
      <c r="BB24" s="94"/>
      <c r="BC24" s="94"/>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t="str">
        <f t="shared" si="0"/>
        <v/>
      </c>
      <c r="CC24" s="51" t="str">
        <f t="shared" si="1"/>
        <v/>
      </c>
    </row>
    <row r="25" spans="1:81" ht="14.25" x14ac:dyDescent="0.1">
      <c r="A25" s="95"/>
      <c r="B25" s="96"/>
      <c r="C25" s="96"/>
      <c r="D25" s="96"/>
      <c r="E25" s="131"/>
      <c r="F25" s="131"/>
      <c r="G25" s="94"/>
      <c r="H25" s="94"/>
      <c r="I25" s="94"/>
      <c r="J25" s="94"/>
      <c r="K25" s="94"/>
      <c r="L25" s="94"/>
      <c r="M25" s="94"/>
      <c r="N25" s="94"/>
      <c r="O25" s="94"/>
      <c r="P25" s="94"/>
      <c r="Q25" s="94"/>
      <c r="R25" s="94"/>
      <c r="S25" s="94" t="str">
        <f>IF($A25&lt;&gt;0,IF($E25&lt;&gt;0,VLOOKUP($E25,图表!$A$306:$C$317,3,0)+VLOOKUP($A25,图表!$A$330:$C$475,3,0),VLOOKUP($A25,图表!$A$330:$C$475,3,0)),"")</f>
        <v/>
      </c>
      <c r="T25" s="94"/>
      <c r="U25" s="94"/>
      <c r="V25" s="64" t="s">
        <v>180</v>
      </c>
      <c r="W25" s="64"/>
      <c r="X25" s="94"/>
      <c r="Y25" s="94"/>
      <c r="Z25" s="51"/>
      <c r="AA25" s="51"/>
      <c r="AB25" s="51"/>
      <c r="AC25" s="95"/>
      <c r="AD25" s="96"/>
      <c r="AE25" s="96"/>
      <c r="AF25" s="96"/>
      <c r="AG25" s="131" t="str">
        <f>IF($AC25&lt;&gt;0,VLOOKUP($AC25,图表!$E$330:$H$1139,2,0),"")</f>
        <v/>
      </c>
      <c r="AH25" s="131"/>
      <c r="AI25" s="94"/>
      <c r="AJ25" s="94"/>
      <c r="AK25" s="94"/>
      <c r="AL25" s="94"/>
      <c r="AM25" s="94"/>
      <c r="AN25" s="94"/>
      <c r="AO25" s="94"/>
      <c r="AP25" s="94"/>
      <c r="AQ25" s="94"/>
      <c r="AR25" s="94"/>
      <c r="AS25" s="94"/>
      <c r="AT25" s="94"/>
      <c r="AU25" s="94"/>
      <c r="AV25" s="94"/>
      <c r="AW25" s="94" t="str">
        <f>IF($AC25&lt;&gt;0,VLOOKUP($AC25,图表!$E$330:$H$1139,4,0),"")</f>
        <v/>
      </c>
      <c r="AX25" s="94"/>
      <c r="AY25" s="94"/>
      <c r="AZ25" s="64" t="s">
        <v>180</v>
      </c>
      <c r="BA25" s="64"/>
      <c r="BB25" s="94"/>
      <c r="BC25" s="94"/>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t="str">
        <f t="shared" si="0"/>
        <v/>
      </c>
      <c r="CC25" s="51" t="str">
        <f t="shared" si="1"/>
        <v/>
      </c>
    </row>
    <row r="26" spans="1:81" ht="14.25" x14ac:dyDescent="0.1">
      <c r="A26" s="64" t="s">
        <v>185</v>
      </c>
      <c r="B26" s="64"/>
      <c r="C26" s="64"/>
      <c r="D26" s="64"/>
      <c r="E26" s="64"/>
      <c r="F26" s="64"/>
      <c r="G26" s="51"/>
      <c r="H26" s="51"/>
      <c r="I26" s="51"/>
      <c r="J26" s="51"/>
      <c r="K26" s="51"/>
      <c r="L26" s="51"/>
      <c r="M26" s="51"/>
      <c r="N26" s="51"/>
      <c r="O26" s="51"/>
      <c r="P26" s="51"/>
      <c r="Q26" s="51"/>
      <c r="R26" s="51"/>
      <c r="S26" s="51"/>
      <c r="T26" s="51"/>
      <c r="U26" s="51"/>
      <c r="V26" s="51"/>
      <c r="W26" s="51"/>
      <c r="X26" s="51"/>
      <c r="Y26" s="51"/>
      <c r="Z26" s="51"/>
      <c r="AA26" s="51"/>
      <c r="AB26" s="51"/>
      <c r="AC26" s="64" t="s">
        <v>186</v>
      </c>
      <c r="AD26" s="64"/>
      <c r="AE26" s="64"/>
      <c r="AF26" s="64"/>
      <c r="AG26" s="64"/>
      <c r="AH26" s="64"/>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row>
    <row r="27" spans="1:81" ht="14.25" x14ac:dyDescent="0.1">
      <c r="A27" s="65" t="s">
        <v>187</v>
      </c>
      <c r="B27" s="65"/>
      <c r="C27" s="65"/>
      <c r="D27" s="65"/>
      <c r="E27" s="65"/>
      <c r="F27" s="65"/>
      <c r="G27" s="187" t="s">
        <v>188</v>
      </c>
      <c r="H27" s="187"/>
      <c r="I27" s="187"/>
      <c r="J27" s="187"/>
      <c r="K27" s="187"/>
      <c r="L27" s="187"/>
      <c r="M27" s="187"/>
      <c r="N27" s="187"/>
      <c r="O27" s="187"/>
      <c r="P27" s="187"/>
      <c r="Q27" s="57"/>
      <c r="R27" s="57"/>
      <c r="S27" s="51"/>
      <c r="T27" s="51"/>
      <c r="U27" s="51"/>
      <c r="V27" s="51"/>
      <c r="W27" s="51"/>
      <c r="X27" s="51"/>
      <c r="Y27" s="51"/>
      <c r="Z27" s="51"/>
      <c r="AA27" s="51"/>
      <c r="AB27" s="51"/>
      <c r="AC27" s="65" t="s">
        <v>189</v>
      </c>
      <c r="AD27" s="65"/>
      <c r="AE27" s="65"/>
      <c r="AF27" s="65"/>
      <c r="AG27" s="65"/>
      <c r="AH27" s="65"/>
      <c r="AI27" s="188">
        <f>SUM(CC5:CC25)</f>
        <v>0</v>
      </c>
      <c r="AJ27" s="188"/>
      <c r="AK27" s="188"/>
      <c r="AL27" s="188"/>
      <c r="AM27" s="188"/>
      <c r="AN27" s="188"/>
      <c r="AO27" s="188"/>
      <c r="AP27" s="188"/>
      <c r="AQ27" s="188"/>
      <c r="AR27" s="188"/>
      <c r="AS27" s="64" t="s">
        <v>190</v>
      </c>
      <c r="AT27" s="64"/>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row>
    <row r="28" spans="1:81" ht="14.25" x14ac:dyDescent="0.2">
      <c r="A28" s="65" t="s">
        <v>191</v>
      </c>
      <c r="B28" s="65"/>
      <c r="C28" s="65"/>
      <c r="D28" s="65"/>
      <c r="E28" s="65"/>
      <c r="F28" s="65"/>
      <c r="G28" s="189" t="e">
        <f>图表!T73</f>
        <v>#N/A</v>
      </c>
      <c r="H28" s="189"/>
      <c r="I28" s="189"/>
      <c r="J28" s="189"/>
      <c r="K28" s="189"/>
      <c r="L28" s="189"/>
      <c r="M28" s="189"/>
      <c r="N28" s="189"/>
      <c r="O28" s="189"/>
      <c r="P28" s="189"/>
      <c r="Q28" s="57" t="s">
        <v>192</v>
      </c>
      <c r="R28" s="51"/>
      <c r="S28" s="51"/>
      <c r="T28" s="51"/>
      <c r="U28" s="51"/>
      <c r="V28" s="51"/>
      <c r="W28" s="51"/>
      <c r="X28" s="51"/>
      <c r="Y28" s="51"/>
      <c r="Z28" s="51"/>
      <c r="AA28" s="51"/>
      <c r="AB28" s="51"/>
      <c r="AC28" s="65" t="s">
        <v>193</v>
      </c>
      <c r="AD28" s="65"/>
      <c r="AE28" s="65"/>
      <c r="AF28" s="65"/>
      <c r="AG28" s="65"/>
      <c r="AH28" s="65"/>
      <c r="AI28" s="188">
        <f>SUM(CB5:CB25)</f>
        <v>0</v>
      </c>
      <c r="AJ28" s="188"/>
      <c r="AK28" s="188"/>
      <c r="AL28" s="188"/>
      <c r="AM28" s="188"/>
      <c r="AN28" s="188"/>
      <c r="AO28" s="188"/>
      <c r="AP28" s="188"/>
      <c r="AQ28" s="188"/>
      <c r="AR28" s="188"/>
      <c r="AS28" s="64" t="s">
        <v>190</v>
      </c>
      <c r="AT28" s="64"/>
      <c r="AU28" s="51"/>
      <c r="AV28" s="95" t="s">
        <v>194</v>
      </c>
      <c r="AW28" s="96"/>
      <c r="AX28" s="96"/>
      <c r="AY28" s="96"/>
      <c r="AZ28" s="190">
        <f>COUNTIF(AG5:AH25,"是")</f>
        <v>0</v>
      </c>
      <c r="BA28" s="191"/>
      <c r="BB28" s="51" t="s">
        <v>195</v>
      </c>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row>
    <row r="29" spans="1:81" ht="14.25" x14ac:dyDescent="0.2">
      <c r="A29" s="65" t="s">
        <v>196</v>
      </c>
      <c r="B29" s="65"/>
      <c r="C29" s="65"/>
      <c r="D29" s="65"/>
      <c r="E29" s="65"/>
      <c r="F29" s="65"/>
      <c r="G29" s="192"/>
      <c r="H29" s="192"/>
      <c r="I29" s="192"/>
      <c r="J29" s="192"/>
      <c r="K29" s="192"/>
      <c r="L29" s="192"/>
      <c r="M29" s="192"/>
      <c r="N29" s="192"/>
      <c r="O29" s="192"/>
      <c r="P29" s="192"/>
      <c r="Q29" s="57" t="s">
        <v>192</v>
      </c>
      <c r="R29" s="51"/>
      <c r="S29" s="51"/>
      <c r="T29" s="51"/>
      <c r="U29" s="51"/>
      <c r="V29" s="51"/>
      <c r="W29" s="51"/>
      <c r="X29" s="51"/>
      <c r="Y29" s="51"/>
      <c r="Z29" s="51"/>
      <c r="AA29" s="51"/>
      <c r="AB29" s="51"/>
      <c r="AC29" s="65" t="s">
        <v>197</v>
      </c>
      <c r="AD29" s="65"/>
      <c r="AE29" s="65"/>
      <c r="AF29" s="65"/>
      <c r="AG29" s="65"/>
      <c r="AH29" s="65"/>
      <c r="AI29" s="94">
        <v>999999</v>
      </c>
      <c r="AJ29" s="94"/>
      <c r="AK29" s="94"/>
      <c r="AL29" s="94"/>
      <c r="AM29" s="94"/>
      <c r="AN29" s="94"/>
      <c r="AO29" s="94"/>
      <c r="AP29" s="94"/>
      <c r="AQ29" s="94"/>
      <c r="AR29" s="94"/>
      <c r="AS29" s="64" t="s">
        <v>190</v>
      </c>
      <c r="AT29" s="64"/>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row>
    <row r="30" spans="1:81" ht="14.25" x14ac:dyDescent="0.1">
      <c r="A30" s="65" t="s">
        <v>198</v>
      </c>
      <c r="B30" s="65"/>
      <c r="C30" s="65"/>
      <c r="D30" s="65"/>
      <c r="E30" s="65"/>
      <c r="F30" s="65"/>
      <c r="G30" s="193" t="e">
        <f>IF(G29&gt;G28,"超载","未超载")</f>
        <v>#N/A</v>
      </c>
      <c r="H30" s="193"/>
      <c r="I30" s="193"/>
      <c r="J30" s="193"/>
      <c r="K30" s="193"/>
      <c r="L30" s="193"/>
      <c r="M30" s="193"/>
      <c r="N30" s="193"/>
      <c r="O30" s="193"/>
      <c r="P30" s="193"/>
      <c r="Q30" s="51"/>
      <c r="R30" s="51"/>
      <c r="S30" s="51"/>
      <c r="T30" s="51"/>
      <c r="U30" s="51"/>
      <c r="V30" s="51"/>
      <c r="W30" s="51"/>
      <c r="X30" s="51"/>
      <c r="Y30" s="51"/>
      <c r="Z30" s="51"/>
      <c r="AA30" s="51"/>
      <c r="AB30" s="51"/>
      <c r="AC30" s="65" t="s">
        <v>199</v>
      </c>
      <c r="AD30" s="65"/>
      <c r="AE30" s="65"/>
      <c r="AF30" s="65"/>
      <c r="AG30" s="65"/>
      <c r="AH30" s="65"/>
      <c r="AI30" s="132">
        <f>AI29-AI27-AI28</f>
        <v>999999</v>
      </c>
      <c r="AJ30" s="132"/>
      <c r="AK30" s="132"/>
      <c r="AL30" s="132"/>
      <c r="AM30" s="132"/>
      <c r="AN30" s="132"/>
      <c r="AO30" s="132"/>
      <c r="AP30" s="132"/>
      <c r="AQ30" s="132"/>
      <c r="AR30" s="132"/>
      <c r="AS30" s="64" t="s">
        <v>190</v>
      </c>
      <c r="AT30" s="64"/>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row>
    <row r="31" spans="1:81" ht="14.25" x14ac:dyDescent="0.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row>
    <row r="32" spans="1:81" ht="14.25" x14ac:dyDescent="0.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row>
    <row r="33" spans="1:81" ht="14.25" x14ac:dyDescent="0.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row>
    <row r="34" spans="1:81" ht="14.25" x14ac:dyDescent="0.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row>
    <row r="35" spans="1:81" ht="14.25" x14ac:dyDescent="0.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row>
    <row r="36" spans="1:81" ht="14.25" x14ac:dyDescent="0.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row>
    <row r="37" spans="1:81" ht="14.25" x14ac:dyDescent="0.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row>
    <row r="38" spans="1:81" ht="14.25" x14ac:dyDescent="0.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row>
    <row r="39" spans="1:81" ht="14.25" x14ac:dyDescent="0.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row>
    <row r="40" spans="1:81" ht="14.25" x14ac:dyDescent="0.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row>
    <row r="41" spans="1:81" ht="14.25" x14ac:dyDescent="0.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row>
    <row r="42" spans="1:81" ht="14.25" x14ac:dyDescent="0.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row>
    <row r="43" spans="1:81" ht="14.25" x14ac:dyDescent="0.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row>
    <row r="44" spans="1:81" ht="14.25" x14ac:dyDescent="0.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row>
    <row r="45" spans="1:81" ht="14.25" x14ac:dyDescent="0.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row>
    <row r="46" spans="1:81" ht="14.25" x14ac:dyDescent="0.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row>
    <row r="47" spans="1:81"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row>
    <row r="48" spans="1:81"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row>
    <row r="49" spans="1:81"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row>
    <row r="50" spans="1:81"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row>
    <row r="51" spans="1:81"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row>
    <row r="52" spans="1:81"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row>
    <row r="53" spans="1:81"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row>
    <row r="54" spans="1:81"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row>
    <row r="55" spans="1:81"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row>
    <row r="56" spans="1:81"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row>
    <row r="57" spans="1:81"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row>
    <row r="58" spans="1:81"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row>
    <row r="59" spans="1:81"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row>
    <row r="60" spans="1:81" ht="14.25" x14ac:dyDescent="0.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row>
    <row r="61" spans="1:81" ht="14.25" x14ac:dyDescent="0.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row>
    <row r="62" spans="1:81" ht="14.25" x14ac:dyDescent="0.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row>
    <row r="63" spans="1:81" ht="14.25" x14ac:dyDescent="0.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row>
    <row r="64" spans="1:81" ht="14.25" x14ac:dyDescent="0.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row>
    <row r="65" spans="1:81" ht="14.25" x14ac:dyDescent="0.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row>
    <row r="66" spans="1:81" ht="14.25" x14ac:dyDescent="0.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row>
    <row r="67" spans="1:81" ht="14.25" x14ac:dyDescent="0.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row>
    <row r="68" spans="1:81" ht="14.25" x14ac:dyDescent="0.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row>
    <row r="69" spans="1:81" ht="14.25" x14ac:dyDescent="0.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row>
    <row r="70" spans="1:81" ht="14.25" x14ac:dyDescent="0.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row>
    <row r="71" spans="1:81" ht="14.25" x14ac:dyDescent="0.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row>
    <row r="72" spans="1:81" ht="14.25" x14ac:dyDescent="0.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row>
    <row r="73" spans="1:81" ht="14.25" x14ac:dyDescent="0.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row>
    <row r="74" spans="1:81" ht="14.25" x14ac:dyDescent="0.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row>
    <row r="75" spans="1:81" ht="14.25" x14ac:dyDescent="0.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row>
    <row r="76" spans="1:81" ht="14.25" x14ac:dyDescent="0.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row>
    <row r="77" spans="1:81" ht="14.25" x14ac:dyDescent="0.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row>
    <row r="78" spans="1:81" ht="14.25" x14ac:dyDescent="0.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row>
    <row r="79" spans="1:81" ht="14.25" x14ac:dyDescent="0.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row>
    <row r="80" spans="1:81" ht="14.25" x14ac:dyDescent="0.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row>
    <row r="81" spans="1:81" ht="14.25" x14ac:dyDescent="0.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row>
    <row r="82" spans="1:81" ht="14.25" x14ac:dyDescent="0.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row>
    <row r="83" spans="1:81" ht="14.25" x14ac:dyDescent="0.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row>
    <row r="84" spans="1:81" ht="14.25" x14ac:dyDescent="0.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row>
    <row r="85" spans="1:81" ht="14.25" x14ac:dyDescent="0.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row>
    <row r="86" spans="1:81" ht="14.25" x14ac:dyDescent="0.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row>
    <row r="87" spans="1:81" ht="14.25" x14ac:dyDescent="0.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row>
    <row r="88" spans="1:81" ht="14.25" x14ac:dyDescent="0.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row>
    <row r="89" spans="1:81" ht="14.25" x14ac:dyDescent="0.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row>
    <row r="90" spans="1:81" ht="14.25" x14ac:dyDescent="0.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row>
    <row r="91" spans="1:81" ht="14.25" x14ac:dyDescent="0.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row>
    <row r="92" spans="1:81" ht="14.25" x14ac:dyDescent="0.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row>
    <row r="93" spans="1:81" ht="14.25" x14ac:dyDescent="0.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row>
    <row r="94" spans="1:81" ht="14.25" x14ac:dyDescent="0.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row>
    <row r="95" spans="1:81" ht="14.25" x14ac:dyDescent="0.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row>
    <row r="96" spans="1:81" ht="14.25" x14ac:dyDescent="0.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row>
    <row r="97" spans="1:81" ht="14.25" x14ac:dyDescent="0.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row>
    <row r="98" spans="1:81" ht="14.25" x14ac:dyDescent="0.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row>
    <row r="99" spans="1:81" ht="14.25" x14ac:dyDescent="0.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row>
    <row r="100" spans="1:81" ht="14.25" x14ac:dyDescent="0.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row>
    <row r="101" spans="1:81" ht="14.25" x14ac:dyDescent="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row>
    <row r="102" spans="1:81" ht="14.25" x14ac:dyDescent="0.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row>
    <row r="103" spans="1:81" ht="14.25" x14ac:dyDescent="0.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row>
    <row r="104" spans="1:81" ht="14.25" x14ac:dyDescent="0.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row>
    <row r="105" spans="1:81" ht="14.25" x14ac:dyDescent="0.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row>
    <row r="106" spans="1:81" ht="14.25" x14ac:dyDescent="0.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row>
    <row r="107" spans="1:81" ht="14.25" x14ac:dyDescent="0.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row>
    <row r="108" spans="1:81" ht="14.25" x14ac:dyDescent="0.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row>
    <row r="109" spans="1:81" ht="14.25" x14ac:dyDescent="0.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row>
    <row r="110" spans="1:81" ht="14.25" x14ac:dyDescent="0.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row>
    <row r="111" spans="1:81" ht="14.25" x14ac:dyDescent="0.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row>
  </sheetData>
  <mergeCells count="289">
    <mergeCell ref="A30:F30"/>
    <mergeCell ref="G30:P30"/>
    <mergeCell ref="AC30:AH30"/>
    <mergeCell ref="AI30:AR30"/>
    <mergeCell ref="AS30:AT30"/>
    <mergeCell ref="A28:F28"/>
    <mergeCell ref="G28:P28"/>
    <mergeCell ref="AC28:AH28"/>
    <mergeCell ref="AI28:AR28"/>
    <mergeCell ref="AS28:AT28"/>
    <mergeCell ref="AV28:AY28"/>
    <mergeCell ref="AZ28:BA28"/>
    <mergeCell ref="A29:F29"/>
    <mergeCell ref="G29:P29"/>
    <mergeCell ref="AC29:AH29"/>
    <mergeCell ref="AI29:AR29"/>
    <mergeCell ref="AS29:AT29"/>
    <mergeCell ref="AW25:AY25"/>
    <mergeCell ref="AZ25:BA25"/>
    <mergeCell ref="BB25:BC25"/>
    <mergeCell ref="A26:F26"/>
    <mergeCell ref="AC26:AH26"/>
    <mergeCell ref="A27:F27"/>
    <mergeCell ref="G27:P27"/>
    <mergeCell ref="AC27:AH27"/>
    <mergeCell ref="AI27:AR27"/>
    <mergeCell ref="AS27:AT27"/>
    <mergeCell ref="A25:D25"/>
    <mergeCell ref="E25:F25"/>
    <mergeCell ref="G25:R25"/>
    <mergeCell ref="S25:U25"/>
    <mergeCell ref="V25:W25"/>
    <mergeCell ref="X25:Y25"/>
    <mergeCell ref="AC25:AF25"/>
    <mergeCell ref="AG25:AH25"/>
    <mergeCell ref="AI25:AV25"/>
    <mergeCell ref="AW23:AY23"/>
    <mergeCell ref="AZ23:BA23"/>
    <mergeCell ref="BB23:BC23"/>
    <mergeCell ref="A24:D24"/>
    <mergeCell ref="E24:F24"/>
    <mergeCell ref="G24:R24"/>
    <mergeCell ref="S24:U24"/>
    <mergeCell ref="V24:W24"/>
    <mergeCell ref="X24:Y24"/>
    <mergeCell ref="AC24:AF24"/>
    <mergeCell ref="AG24:AH24"/>
    <mergeCell ref="AI24:AV24"/>
    <mergeCell ref="AW24:AY24"/>
    <mergeCell ref="AZ24:BA24"/>
    <mergeCell ref="BB24:BC24"/>
    <mergeCell ref="A23:D23"/>
    <mergeCell ref="E23:F23"/>
    <mergeCell ref="G23:R23"/>
    <mergeCell ref="S23:U23"/>
    <mergeCell ref="V23:W23"/>
    <mergeCell ref="X23:Y23"/>
    <mergeCell ref="AC23:AF23"/>
    <mergeCell ref="AG23:AH23"/>
    <mergeCell ref="AI23:AV23"/>
    <mergeCell ref="AW21:AY21"/>
    <mergeCell ref="AZ21:BA21"/>
    <mergeCell ref="BB21:BC21"/>
    <mergeCell ref="A22:D22"/>
    <mergeCell ref="E22:F22"/>
    <mergeCell ref="G22:R22"/>
    <mergeCell ref="S22:U22"/>
    <mergeCell ref="V22:W22"/>
    <mergeCell ref="X22:Y22"/>
    <mergeCell ref="AC22:AF22"/>
    <mergeCell ref="AG22:AH22"/>
    <mergeCell ref="AI22:AV22"/>
    <mergeCell ref="AW22:AY22"/>
    <mergeCell ref="AZ22:BA22"/>
    <mergeCell ref="BB22:BC22"/>
    <mergeCell ref="A21:D21"/>
    <mergeCell ref="E21:F21"/>
    <mergeCell ref="G21:R21"/>
    <mergeCell ref="S21:U21"/>
    <mergeCell ref="V21:W21"/>
    <mergeCell ref="X21:Y21"/>
    <mergeCell ref="AC21:AF21"/>
    <mergeCell ref="AG21:AH21"/>
    <mergeCell ref="AI21:AV21"/>
    <mergeCell ref="AW19:AY19"/>
    <mergeCell ref="AZ19:BA19"/>
    <mergeCell ref="BB19:BC19"/>
    <mergeCell ref="A20:D20"/>
    <mergeCell ref="E20:F20"/>
    <mergeCell ref="G20:R20"/>
    <mergeCell ref="S20:U20"/>
    <mergeCell ref="V20:W20"/>
    <mergeCell ref="X20:Y20"/>
    <mergeCell ref="AC20:AF20"/>
    <mergeCell ref="AG20:AH20"/>
    <mergeCell ref="AI20:AV20"/>
    <mergeCell ref="AW20:AY20"/>
    <mergeCell ref="AZ20:BA20"/>
    <mergeCell ref="BB20:BC20"/>
    <mergeCell ref="A19:D19"/>
    <mergeCell ref="E19:F19"/>
    <mergeCell ref="G19:R19"/>
    <mergeCell ref="S19:U19"/>
    <mergeCell ref="V19:W19"/>
    <mergeCell ref="X19:Y19"/>
    <mergeCell ref="AC19:AF19"/>
    <mergeCell ref="AG19:AH19"/>
    <mergeCell ref="AI19:AV19"/>
    <mergeCell ref="AW17:AY17"/>
    <mergeCell ref="AZ17:BA17"/>
    <mergeCell ref="BB17:BC17"/>
    <mergeCell ref="A18:D18"/>
    <mergeCell ref="E18:F18"/>
    <mergeCell ref="G18:R18"/>
    <mergeCell ref="S18:U18"/>
    <mergeCell ref="V18:W18"/>
    <mergeCell ref="X18:Y18"/>
    <mergeCell ref="AC18:AF18"/>
    <mergeCell ref="AG18:AH18"/>
    <mergeCell ref="AI18:AV18"/>
    <mergeCell ref="AW18:AY18"/>
    <mergeCell ref="AZ18:BA18"/>
    <mergeCell ref="BB18:BC18"/>
    <mergeCell ref="A17:D17"/>
    <mergeCell ref="E17:F17"/>
    <mergeCell ref="G17:R17"/>
    <mergeCell ref="S17:U17"/>
    <mergeCell ref="V17:W17"/>
    <mergeCell ref="X17:Y17"/>
    <mergeCell ref="AC17:AF17"/>
    <mergeCell ref="AG17:AH17"/>
    <mergeCell ref="AI17:AV17"/>
    <mergeCell ref="AW15:AY15"/>
    <mergeCell ref="AZ15:BA15"/>
    <mergeCell ref="BB15:BC15"/>
    <mergeCell ref="A16:D16"/>
    <mergeCell ref="E16:F16"/>
    <mergeCell ref="G16:R16"/>
    <mergeCell ref="S16:U16"/>
    <mergeCell ref="V16:W16"/>
    <mergeCell ref="X16:Y16"/>
    <mergeCell ref="AC16:AF16"/>
    <mergeCell ref="AG16:AH16"/>
    <mergeCell ref="AI16:AV16"/>
    <mergeCell ref="AW16:AY16"/>
    <mergeCell ref="AZ16:BA16"/>
    <mergeCell ref="BB16:BC16"/>
    <mergeCell ref="A15:D15"/>
    <mergeCell ref="E15:F15"/>
    <mergeCell ref="G15:R15"/>
    <mergeCell ref="S15:U15"/>
    <mergeCell ref="V15:W15"/>
    <mergeCell ref="X15:Y15"/>
    <mergeCell ref="AC15:AF15"/>
    <mergeCell ref="AG15:AH15"/>
    <mergeCell ref="AI15:AV15"/>
    <mergeCell ref="AW13:AY13"/>
    <mergeCell ref="AZ13:BA13"/>
    <mergeCell ref="BB13:BC13"/>
    <mergeCell ref="A14:D14"/>
    <mergeCell ref="E14:F14"/>
    <mergeCell ref="G14:R14"/>
    <mergeCell ref="S14:U14"/>
    <mergeCell ref="V14:W14"/>
    <mergeCell ref="X14:Y14"/>
    <mergeCell ref="AC14:AF14"/>
    <mergeCell ref="AG14:AH14"/>
    <mergeCell ref="AI14:AV14"/>
    <mergeCell ref="AW14:AY14"/>
    <mergeCell ref="AZ14:BA14"/>
    <mergeCell ref="BB14:BC14"/>
    <mergeCell ref="A13:D13"/>
    <mergeCell ref="E13:F13"/>
    <mergeCell ref="G13:R13"/>
    <mergeCell ref="S13:U13"/>
    <mergeCell ref="V13:W13"/>
    <mergeCell ref="X13:Y13"/>
    <mergeCell ref="AC13:AF13"/>
    <mergeCell ref="AG13:AH13"/>
    <mergeCell ref="AI13:AV13"/>
    <mergeCell ref="AW11:AY11"/>
    <mergeCell ref="AZ11:BA11"/>
    <mergeCell ref="BB11:BC11"/>
    <mergeCell ref="A12:D12"/>
    <mergeCell ref="E12:F12"/>
    <mergeCell ref="G12:R12"/>
    <mergeCell ref="S12:U12"/>
    <mergeCell ref="V12:W12"/>
    <mergeCell ref="X12:Y12"/>
    <mergeCell ref="AC12:AF12"/>
    <mergeCell ref="AG12:AH12"/>
    <mergeCell ref="AI12:AV12"/>
    <mergeCell ref="AW12:AY12"/>
    <mergeCell ref="AZ12:BA12"/>
    <mergeCell ref="BB12:BC12"/>
    <mergeCell ref="A11:D11"/>
    <mergeCell ref="E11:F11"/>
    <mergeCell ref="G11:R11"/>
    <mergeCell ref="S11:U11"/>
    <mergeCell ref="V11:W11"/>
    <mergeCell ref="X11:Y11"/>
    <mergeCell ref="AC11:AF11"/>
    <mergeCell ref="AG11:AH11"/>
    <mergeCell ref="AI11:AV11"/>
    <mergeCell ref="AW9:AY9"/>
    <mergeCell ref="AZ9:BA9"/>
    <mergeCell ref="BB9:BC9"/>
    <mergeCell ref="A10:D10"/>
    <mergeCell ref="E10:F10"/>
    <mergeCell ref="G10:R10"/>
    <mergeCell ref="S10:U10"/>
    <mergeCell ref="V10:W10"/>
    <mergeCell ref="X10:Y10"/>
    <mergeCell ref="AC10:AF10"/>
    <mergeCell ref="AG10:AH10"/>
    <mergeCell ref="AI10:AV10"/>
    <mergeCell ref="AW10:AY10"/>
    <mergeCell ref="AZ10:BA10"/>
    <mergeCell ref="BB10:BC10"/>
    <mergeCell ref="A9:D9"/>
    <mergeCell ref="E9:F9"/>
    <mergeCell ref="G9:R9"/>
    <mergeCell ref="S9:U9"/>
    <mergeCell ref="V9:W9"/>
    <mergeCell ref="X9:Y9"/>
    <mergeCell ref="AC9:AF9"/>
    <mergeCell ref="AG9:AH9"/>
    <mergeCell ref="AI9:AV9"/>
    <mergeCell ref="AW7:AY7"/>
    <mergeCell ref="AZ7:BA7"/>
    <mergeCell ref="BB7:BC7"/>
    <mergeCell ref="A8:D8"/>
    <mergeCell ref="E8:F8"/>
    <mergeCell ref="G8:R8"/>
    <mergeCell ref="S8:U8"/>
    <mergeCell ref="V8:W8"/>
    <mergeCell ref="X8:Y8"/>
    <mergeCell ref="AC8:AF8"/>
    <mergeCell ref="AG8:AH8"/>
    <mergeCell ref="AI8:AV8"/>
    <mergeCell ref="AW8:AY8"/>
    <mergeCell ref="AZ8:BA8"/>
    <mergeCell ref="BB8:BC8"/>
    <mergeCell ref="A7:D7"/>
    <mergeCell ref="E7:F7"/>
    <mergeCell ref="G7:R7"/>
    <mergeCell ref="S7:U7"/>
    <mergeCell ref="V7:W7"/>
    <mergeCell ref="X7:Y7"/>
    <mergeCell ref="AC7:AF7"/>
    <mergeCell ref="AG7:AH7"/>
    <mergeCell ref="AI7:AV7"/>
    <mergeCell ref="AW5:AY5"/>
    <mergeCell ref="AZ5:BA5"/>
    <mergeCell ref="BB5:BC5"/>
    <mergeCell ref="A6:D6"/>
    <mergeCell ref="E6:F6"/>
    <mergeCell ref="G6:R6"/>
    <mergeCell ref="S6:U6"/>
    <mergeCell ref="V6:W6"/>
    <mergeCell ref="X6:Y6"/>
    <mergeCell ref="AC6:AF6"/>
    <mergeCell ref="AG6:AH6"/>
    <mergeCell ref="AI6:AV6"/>
    <mergeCell ref="AW6:AY6"/>
    <mergeCell ref="AZ6:BA6"/>
    <mergeCell ref="BB6:BC6"/>
    <mergeCell ref="A5:D5"/>
    <mergeCell ref="E5:F5"/>
    <mergeCell ref="G5:R5"/>
    <mergeCell ref="S5:U5"/>
    <mergeCell ref="V5:W5"/>
    <mergeCell ref="X5:Y5"/>
    <mergeCell ref="AC5:AF5"/>
    <mergeCell ref="AG5:AH5"/>
    <mergeCell ref="AI5:AV5"/>
    <mergeCell ref="A1:BC1"/>
    <mergeCell ref="A3:Y3"/>
    <mergeCell ref="AC3:BC3"/>
    <mergeCell ref="A4:D4"/>
    <mergeCell ref="E4:F4"/>
    <mergeCell ref="G4:R4"/>
    <mergeCell ref="S4:U4"/>
    <mergeCell ref="X4:Y4"/>
    <mergeCell ref="AC4:AF4"/>
    <mergeCell ref="AG4:AH4"/>
    <mergeCell ref="AI4:AV4"/>
    <mergeCell ref="AW4:AY4"/>
    <mergeCell ref="BB4:BC4"/>
  </mergeCells>
  <dataValidations count="2">
    <dataValidation type="list" allowBlank="1" showInputMessage="1" showErrorMessage="1" sqref="G27:P27" xr:uid="{00000000-0002-0000-0300-000015000000}">
      <formula1>"是有力体型,无有力体型"</formula1>
    </dataValidation>
    <dataValidation allowBlank="1" showInputMessage="1" showErrorMessage="1" sqref="AV28:AY28 A27:D30 AC27:AF30 AG5:AH25" xr:uid="{00000000-0002-0000-0300-000016000000}"/>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6">
        <x14:dataValidation type="list" allowBlank="1" showInputMessage="1" showErrorMessage="1" xr:uid="{00000000-0002-0000-0300-000000000000}">
          <x14:formula1>
            <xm:f>图表!$G$306</xm:f>
          </x14:formula1>
          <xm:sqref>AI5:AV5</xm:sqref>
        </x14:dataValidation>
        <x14:dataValidation type="list" allowBlank="1" showInputMessage="1" showErrorMessage="1" xr:uid="{00000000-0002-0000-0300-000001000000}">
          <x14:formula1>
            <xm:f>图表!$G$307</xm:f>
          </x14:formula1>
          <xm:sqref>AI6:AV6</xm:sqref>
        </x14:dataValidation>
        <x14:dataValidation type="list" allowBlank="1" showInputMessage="1" showErrorMessage="1" xr:uid="{00000000-0002-0000-0300-000002000000}">
          <x14:formula1>
            <xm:f>图表!$G$308</xm:f>
          </x14:formula1>
          <xm:sqref>AI7:AV7</xm:sqref>
        </x14:dataValidation>
        <x14:dataValidation type="list" allowBlank="1" showInputMessage="1" showErrorMessage="1" xr:uid="{00000000-0002-0000-0300-000003000000}">
          <x14:formula1>
            <xm:f>图表!$G$309</xm:f>
          </x14:formula1>
          <xm:sqref>AI8:AV8</xm:sqref>
        </x14:dataValidation>
        <x14:dataValidation type="list" allowBlank="1" showInputMessage="1" showErrorMessage="1" xr:uid="{00000000-0002-0000-0300-000004000000}">
          <x14:formula1>
            <xm:f>图表!$G$310</xm:f>
          </x14:formula1>
          <xm:sqref>AI9:AV9</xm:sqref>
        </x14:dataValidation>
        <x14:dataValidation type="list" allowBlank="1" showInputMessage="1" showErrorMessage="1" xr:uid="{00000000-0002-0000-0300-000005000000}">
          <x14:formula1>
            <xm:f>图表!$G$311</xm:f>
          </x14:formula1>
          <xm:sqref>AI10:AV10</xm:sqref>
        </x14:dataValidation>
        <x14:dataValidation type="list" allowBlank="1" showInputMessage="1" showErrorMessage="1" xr:uid="{00000000-0002-0000-0300-000006000000}">
          <x14:formula1>
            <xm:f>图表!$G$312</xm:f>
          </x14:formula1>
          <xm:sqref>AI11:AV11</xm:sqref>
        </x14:dataValidation>
        <x14:dataValidation type="list" allowBlank="1" showInputMessage="1" showErrorMessage="1" xr:uid="{00000000-0002-0000-0300-000007000000}">
          <x14:formula1>
            <xm:f>图表!$G$313</xm:f>
          </x14:formula1>
          <xm:sqref>AI12:AV12</xm:sqref>
        </x14:dataValidation>
        <x14:dataValidation type="list" allowBlank="1" showInputMessage="1" showErrorMessage="1" xr:uid="{00000000-0002-0000-0300-000008000000}">
          <x14:formula1>
            <xm:f>图表!$G$314</xm:f>
          </x14:formula1>
          <xm:sqref>AI13:AV13</xm:sqref>
        </x14:dataValidation>
        <x14:dataValidation type="list" allowBlank="1" showInputMessage="1" showErrorMessage="1" xr:uid="{00000000-0002-0000-0300-000009000000}">
          <x14:formula1>
            <xm:f>图表!$G$315</xm:f>
          </x14:formula1>
          <xm:sqref>AI14:AV14</xm:sqref>
        </x14:dataValidation>
        <x14:dataValidation type="list" allowBlank="1" showInputMessage="1" showErrorMessage="1" xr:uid="{00000000-0002-0000-0300-00000A000000}">
          <x14:formula1>
            <xm:f>图表!$G$316</xm:f>
          </x14:formula1>
          <xm:sqref>AI15:AV15</xm:sqref>
        </x14:dataValidation>
        <x14:dataValidation type="list" allowBlank="1" showInputMessage="1" showErrorMessage="1" xr:uid="{00000000-0002-0000-0300-00000B000000}">
          <x14:formula1>
            <xm:f>图表!$G$317</xm:f>
          </x14:formula1>
          <xm:sqref>AI16:AV16</xm:sqref>
        </x14:dataValidation>
        <x14:dataValidation type="list" allowBlank="1" showInputMessage="1" showErrorMessage="1" xr:uid="{00000000-0002-0000-0300-00000C000000}">
          <x14:formula1>
            <xm:f>图表!$G$318</xm:f>
          </x14:formula1>
          <xm:sqref>AI17:AV17</xm:sqref>
        </x14:dataValidation>
        <x14:dataValidation type="list" allowBlank="1" showInputMessage="1" showErrorMessage="1" xr:uid="{00000000-0002-0000-0300-00000D000000}">
          <x14:formula1>
            <xm:f>图表!$G$319</xm:f>
          </x14:formula1>
          <xm:sqref>AI18:AV18</xm:sqref>
        </x14:dataValidation>
        <x14:dataValidation type="list" allowBlank="1" showInputMessage="1" showErrorMessage="1" xr:uid="{00000000-0002-0000-0300-00000E000000}">
          <x14:formula1>
            <xm:f>图表!$G$320</xm:f>
          </x14:formula1>
          <xm:sqref>AI19:AV19</xm:sqref>
        </x14:dataValidation>
        <x14:dataValidation type="list" allowBlank="1" showInputMessage="1" showErrorMessage="1" xr:uid="{00000000-0002-0000-0300-00000F000000}">
          <x14:formula1>
            <xm:f>图表!$G$321</xm:f>
          </x14:formula1>
          <xm:sqref>AI20:AV20</xm:sqref>
        </x14:dataValidation>
        <x14:dataValidation type="list" allowBlank="1" showInputMessage="1" showErrorMessage="1" xr:uid="{00000000-0002-0000-0300-000010000000}">
          <x14:formula1>
            <xm:f>图表!$G$322</xm:f>
          </x14:formula1>
          <xm:sqref>AI21:AV21</xm:sqref>
        </x14:dataValidation>
        <x14:dataValidation type="list" allowBlank="1" showInputMessage="1" showErrorMessage="1" xr:uid="{00000000-0002-0000-0300-000011000000}">
          <x14:formula1>
            <xm:f>图表!$G$323</xm:f>
          </x14:formula1>
          <xm:sqref>AI22:AV22</xm:sqref>
        </x14:dataValidation>
        <x14:dataValidation type="list" allowBlank="1" showInputMessage="1" showErrorMessage="1" xr:uid="{00000000-0002-0000-0300-000012000000}">
          <x14:formula1>
            <xm:f>图表!$G$324318</xm:f>
          </x14:formula1>
          <xm:sqref>AI23:AV23</xm:sqref>
        </x14:dataValidation>
        <x14:dataValidation type="list" allowBlank="1" showInputMessage="1" showErrorMessage="1" xr:uid="{00000000-0002-0000-0300-000013000000}">
          <x14:formula1>
            <xm:f>图表!$G$325</xm:f>
          </x14:formula1>
          <xm:sqref>AI24:AV24</xm:sqref>
        </x14:dataValidation>
        <x14:dataValidation type="list" allowBlank="1" showInputMessage="1" showErrorMessage="1" xr:uid="{00000000-0002-0000-0300-000014000000}">
          <x14:formula1>
            <xm:f>图表!$G$326</xm:f>
          </x14:formula1>
          <xm:sqref>AI25:AV25</xm:sqref>
        </x14:dataValidation>
        <x14:dataValidation type="list" allowBlank="1" showInputMessage="1" xr:uid="{00000000-0002-0000-0300-000017000000}">
          <x14:formula1>
            <xm:f>图表!$A$306:$A$318</xm:f>
          </x14:formula1>
          <xm:sqref>E5:F25</xm:sqref>
        </x14:dataValidation>
        <x14:dataValidation type="list" allowBlank="1" showInputMessage="1" xr:uid="{00000000-0002-0000-0300-000018000000}">
          <x14:formula1>
            <xm:f>图表!$E306</xm:f>
          </x14:formula1>
          <xm:sqref>G5:R17</xm:sqref>
        </x14:dataValidation>
        <x14:dataValidation type="list" allowBlank="1" showInputMessage="1" xr:uid="{00000000-0002-0000-0300-000019000000}">
          <x14:formula1>
            <xm:f>图表!$A$330:$A$514</xm:f>
          </x14:formula1>
          <xm:sqref>A5:D25</xm:sqref>
        </x14:dataValidation>
        <x14:dataValidation type="list" allowBlank="1" showInputMessage="1" xr:uid="{00000000-0002-0000-0300-00001A000000}">
          <x14:formula1>
            <xm:f>图表!$E$330:$E$1139</xm:f>
          </x14:formula1>
          <xm:sqref>AC5:AF25</xm:sqref>
        </x14:dataValidation>
        <x14:dataValidation type="list" allowBlank="1" showInputMessage="1" xr:uid="{00000000-0002-0000-0300-00001B000000}">
          <x14:formula1>
            <xm:f>图表!$I343</xm:f>
          </x14:formula1>
          <xm:sqref>G18:R25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CS111"/>
  <sheetViews>
    <sheetView workbookViewId="0">
      <selection activeCell="W71" sqref="W71"/>
    </sheetView>
  </sheetViews>
  <sheetFormatPr defaultColWidth="2.7265625" defaultRowHeight="13.5" x14ac:dyDescent="0.1"/>
  <cols>
    <col min="1" max="1" width="2.7265625" customWidth="1"/>
  </cols>
  <sheetData>
    <row r="1" spans="1:97" ht="17.25" x14ac:dyDescent="0.1">
      <c r="A1" s="63" t="s">
        <v>124</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row>
    <row r="2" spans="1:97" ht="14.25" x14ac:dyDescent="0.2">
      <c r="A2" s="178" t="s">
        <v>105</v>
      </c>
      <c r="B2" s="147"/>
      <c r="C2" s="147"/>
      <c r="D2" s="147"/>
      <c r="E2" s="132" t="str">
        <f>主要情况!Q27</f>
        <v>感知</v>
      </c>
      <c r="F2" s="132"/>
      <c r="G2" s="132"/>
      <c r="H2" s="51"/>
      <c r="I2" s="178" t="s">
        <v>200</v>
      </c>
      <c r="J2" s="147"/>
      <c r="K2" s="147"/>
      <c r="L2" s="147"/>
      <c r="M2" s="147"/>
      <c r="N2" s="132">
        <f>主要情况!Y27</f>
        <v>5</v>
      </c>
      <c r="O2" s="132"/>
      <c r="P2" s="132"/>
      <c r="Q2" s="51"/>
      <c r="R2" s="178" t="s">
        <v>201</v>
      </c>
      <c r="S2" s="147"/>
      <c r="T2" s="147"/>
      <c r="U2" s="147"/>
      <c r="V2" s="147"/>
      <c r="W2" s="103" t="s">
        <v>202</v>
      </c>
      <c r="X2" s="131"/>
      <c r="Y2" s="131"/>
      <c r="Z2" s="131"/>
      <c r="AA2" s="99"/>
      <c r="AB2" s="100"/>
      <c r="AC2" s="101"/>
      <c r="AD2" s="51" t="s">
        <v>203</v>
      </c>
      <c r="AE2" s="51"/>
      <c r="AF2" s="178" t="s">
        <v>204</v>
      </c>
      <c r="AG2" s="147"/>
      <c r="AH2" s="147"/>
      <c r="AI2" s="147"/>
      <c r="AJ2" s="131">
        <v>14</v>
      </c>
      <c r="AK2" s="131"/>
      <c r="AL2" s="51" t="s">
        <v>205</v>
      </c>
      <c r="AM2" s="51"/>
      <c r="AN2" s="64" t="s">
        <v>206</v>
      </c>
      <c r="AO2" s="64"/>
      <c r="AP2" s="64" t="s">
        <v>207</v>
      </c>
      <c r="AQ2" s="64"/>
      <c r="AR2" s="64"/>
      <c r="AS2" s="64"/>
      <c r="AT2" s="64"/>
      <c r="AU2" s="51"/>
      <c r="AV2" s="64" t="s">
        <v>206</v>
      </c>
      <c r="AW2" s="64"/>
      <c r="AX2" s="64" t="s">
        <v>208</v>
      </c>
      <c r="AY2" s="64"/>
      <c r="AZ2" s="64"/>
      <c r="BA2" s="64"/>
      <c r="BB2" s="64"/>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row>
    <row r="3" spans="1:97" ht="17.25" x14ac:dyDescent="0.2">
      <c r="A3" s="178" t="s">
        <v>209</v>
      </c>
      <c r="B3" s="147"/>
      <c r="C3" s="147"/>
      <c r="D3" s="147"/>
      <c r="E3" s="132">
        <f>主要情况!I27</f>
        <v>0</v>
      </c>
      <c r="F3" s="132"/>
      <c r="G3" s="132"/>
      <c r="H3" s="51"/>
      <c r="I3" s="178" t="s">
        <v>210</v>
      </c>
      <c r="J3" s="147"/>
      <c r="K3" s="147"/>
      <c r="L3" s="147"/>
      <c r="M3" s="147"/>
      <c r="N3" s="132">
        <f>主要情况!Y25</f>
        <v>-3</v>
      </c>
      <c r="O3" s="132"/>
      <c r="P3" s="132"/>
      <c r="Q3" s="51"/>
      <c r="R3" s="178" t="s">
        <v>211</v>
      </c>
      <c r="S3" s="147"/>
      <c r="T3" s="147"/>
      <c r="U3" s="147"/>
      <c r="V3" s="147"/>
      <c r="W3" s="99"/>
      <c r="X3" s="100"/>
      <c r="Y3" s="101"/>
      <c r="Z3" s="51" t="s">
        <v>203</v>
      </c>
      <c r="AA3" s="51"/>
      <c r="AB3" s="51"/>
      <c r="AC3" s="51"/>
      <c r="AD3" s="51"/>
      <c r="AE3" s="51"/>
      <c r="AF3" s="178" t="s">
        <v>212</v>
      </c>
      <c r="AG3" s="147"/>
      <c r="AH3" s="147"/>
      <c r="AI3" s="147"/>
      <c r="AJ3" s="131">
        <v>15</v>
      </c>
      <c r="AK3" s="131"/>
      <c r="AL3" s="51" t="s">
        <v>205</v>
      </c>
      <c r="AM3" s="51"/>
      <c r="AN3" s="194">
        <v>0</v>
      </c>
      <c r="AO3" s="194"/>
      <c r="AP3" s="195" t="s">
        <v>213</v>
      </c>
      <c r="AQ3" s="196"/>
      <c r="AR3" s="196"/>
      <c r="AS3" s="196"/>
      <c r="AT3" s="197"/>
      <c r="AU3" s="51"/>
      <c r="AV3" s="194">
        <v>0</v>
      </c>
      <c r="AW3" s="194"/>
      <c r="AX3" s="195" t="s">
        <v>213</v>
      </c>
      <c r="AY3" s="196"/>
      <c r="AZ3" s="196"/>
      <c r="BA3" s="196"/>
      <c r="BB3" s="197"/>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row>
    <row r="4" spans="1:97" ht="17.25" x14ac:dyDescent="0.1">
      <c r="A4" s="64" t="s">
        <v>124</v>
      </c>
      <c r="B4" s="64"/>
      <c r="C4" s="64"/>
      <c r="D4" s="64"/>
      <c r="E4" s="64" t="s">
        <v>206</v>
      </c>
      <c r="F4" s="64"/>
      <c r="G4" s="64" t="s">
        <v>214</v>
      </c>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t="s">
        <v>215</v>
      </c>
      <c r="AM4" s="64"/>
      <c r="AN4" s="194">
        <v>1</v>
      </c>
      <c r="AO4" s="194"/>
      <c r="AP4" s="198">
        <v>0</v>
      </c>
      <c r="AQ4" s="199"/>
      <c r="AR4" s="54" t="s">
        <v>45</v>
      </c>
      <c r="AS4" s="200">
        <f>IF(AJ2&gt;5,6,IF(AJ2&gt;3,5,IF(AJ2&gt;1,4,IF(AJ2&gt;0,3,0))))</f>
        <v>6</v>
      </c>
      <c r="AT4" s="201"/>
      <c r="AU4" s="51"/>
      <c r="AV4" s="194">
        <v>1</v>
      </c>
      <c r="AW4" s="194"/>
      <c r="AX4" s="198">
        <v>0</v>
      </c>
      <c r="AY4" s="199"/>
      <c r="AZ4" s="54" t="s">
        <v>45</v>
      </c>
      <c r="BA4" s="200">
        <f>IF(AJ3=2,2,IF(AJ3=1,1,0))</f>
        <v>0</v>
      </c>
      <c r="BB4" s="20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row>
    <row r="5" spans="1:97" ht="17.25" x14ac:dyDescent="0.1">
      <c r="A5" s="95"/>
      <c r="B5" s="96"/>
      <c r="C5" s="96"/>
      <c r="D5" s="96"/>
      <c r="E5" s="111"/>
      <c r="F5" s="113"/>
      <c r="G5" s="202"/>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4"/>
      <c r="AL5" s="64"/>
      <c r="AM5" s="64"/>
      <c r="AN5" s="194">
        <v>2</v>
      </c>
      <c r="AO5" s="194"/>
      <c r="AP5" s="198">
        <v>0</v>
      </c>
      <c r="AQ5" s="199"/>
      <c r="AR5" s="54" t="s">
        <v>45</v>
      </c>
      <c r="AS5" s="200">
        <f>IF(AJ2&gt;15,6,IF(AJ2&gt;11,5,IF(AJ2&gt;7,4,IF(AJ2&gt;3,3,IF(AJ2&gt;2,2,0)))))</f>
        <v>5</v>
      </c>
      <c r="AT5" s="201"/>
      <c r="AU5" s="51"/>
      <c r="AV5" s="194">
        <v>2</v>
      </c>
      <c r="AW5" s="194"/>
      <c r="AX5" s="198">
        <v>0</v>
      </c>
      <c r="AY5" s="199"/>
      <c r="AZ5" s="54" t="s">
        <v>45</v>
      </c>
      <c r="BA5" s="200">
        <f>IF(OR(AJ3=3,AJ3=4),2,0)</f>
        <v>0</v>
      </c>
      <c r="BB5" s="20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row>
    <row r="6" spans="1:97" ht="17.25" x14ac:dyDescent="0.1">
      <c r="A6" s="95"/>
      <c r="B6" s="96"/>
      <c r="C6" s="96"/>
      <c r="D6" s="96"/>
      <c r="E6" s="111"/>
      <c r="F6" s="113"/>
      <c r="G6" s="202"/>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4"/>
      <c r="AL6" s="64"/>
      <c r="AM6" s="64"/>
      <c r="AN6" s="194">
        <v>3</v>
      </c>
      <c r="AO6" s="194"/>
      <c r="AP6" s="198">
        <v>0</v>
      </c>
      <c r="AQ6" s="199"/>
      <c r="AR6" s="54" t="s">
        <v>45</v>
      </c>
      <c r="AS6" s="200">
        <f>IF(AJ2&gt;17,6,IF(AJ2&gt;13,5,IF(AJ2&gt;9,4,IF(AJ2&gt;5,3,IF(AJ2&gt;4,2,0)))))</f>
        <v>5</v>
      </c>
      <c r="AT6" s="201"/>
      <c r="AU6" s="51"/>
      <c r="AV6" s="194">
        <v>3</v>
      </c>
      <c r="AW6" s="194"/>
      <c r="AX6" s="198">
        <v>0</v>
      </c>
      <c r="AY6" s="199"/>
      <c r="AZ6" s="54" t="s">
        <v>45</v>
      </c>
      <c r="BA6" s="200">
        <f>IF(OR(AJ3=5,AJ3=6),2,0)</f>
        <v>0</v>
      </c>
      <c r="BB6" s="20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row>
    <row r="7" spans="1:97" ht="17.25" x14ac:dyDescent="0.1">
      <c r="A7" s="95"/>
      <c r="B7" s="96"/>
      <c r="C7" s="96"/>
      <c r="D7" s="96"/>
      <c r="E7" s="111"/>
      <c r="F7" s="113"/>
      <c r="G7" s="202"/>
      <c r="H7" s="203"/>
      <c r="I7" s="203"/>
      <c r="J7" s="203"/>
      <c r="K7" s="203"/>
      <c r="L7" s="203"/>
      <c r="M7" s="203"/>
      <c r="N7" s="203"/>
      <c r="O7" s="203"/>
      <c r="P7" s="203"/>
      <c r="Q7" s="203"/>
      <c r="R7" s="203"/>
      <c r="S7" s="203"/>
      <c r="T7" s="203"/>
      <c r="U7" s="203"/>
      <c r="V7" s="203"/>
      <c r="W7" s="203"/>
      <c r="X7" s="203"/>
      <c r="Y7" s="203"/>
      <c r="Z7" s="203"/>
      <c r="AA7" s="203"/>
      <c r="AB7" s="203"/>
      <c r="AC7" s="203"/>
      <c r="AD7" s="203"/>
      <c r="AE7" s="203"/>
      <c r="AF7" s="203"/>
      <c r="AG7" s="203"/>
      <c r="AH7" s="203"/>
      <c r="AI7" s="203"/>
      <c r="AJ7" s="203"/>
      <c r="AK7" s="204"/>
      <c r="AL7" s="64"/>
      <c r="AM7" s="64"/>
      <c r="AN7" s="194">
        <v>4</v>
      </c>
      <c r="AO7" s="194"/>
      <c r="AP7" s="205">
        <v>0</v>
      </c>
      <c r="AQ7" s="206"/>
      <c r="AR7" s="55" t="s">
        <v>45</v>
      </c>
      <c r="AS7" s="207">
        <f>IF(AJ2&gt;19,6,IF(AJ2&gt;16,5,IF(AJ2&gt;12,4,IF(AJ2&gt;8,3,IF(AJ2&gt;7,2,IF(AJ2&gt;6,1,0))))))</f>
        <v>4</v>
      </c>
      <c r="AT7" s="208"/>
      <c r="AU7" s="51"/>
      <c r="AV7" s="194">
        <v>4</v>
      </c>
      <c r="AW7" s="194"/>
      <c r="AX7" s="205">
        <v>0</v>
      </c>
      <c r="AY7" s="206"/>
      <c r="AZ7" s="55" t="s">
        <v>45</v>
      </c>
      <c r="BA7" s="207">
        <f>IF(OR(AJ3=7,AJ3=8),3,0)</f>
        <v>0</v>
      </c>
      <c r="BB7" s="208"/>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row>
    <row r="8" spans="1:97" ht="17.25" x14ac:dyDescent="0.1">
      <c r="A8" s="95"/>
      <c r="B8" s="96"/>
      <c r="C8" s="96"/>
      <c r="D8" s="96"/>
      <c r="E8" s="111"/>
      <c r="F8" s="113"/>
      <c r="G8" s="202"/>
      <c r="H8" s="203"/>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4"/>
      <c r="AL8" s="64"/>
      <c r="AM8" s="64"/>
      <c r="AN8" s="194">
        <v>5</v>
      </c>
      <c r="AO8" s="209"/>
      <c r="AP8" s="198">
        <v>0</v>
      </c>
      <c r="AQ8" s="199"/>
      <c r="AR8" s="54" t="s">
        <v>45</v>
      </c>
      <c r="AS8" s="200">
        <f>IF(AJ2&gt;20,6,IF(AJ2&gt;19,5,IF(AJ2&gt;16,4,IF(AJ2&gt;12,3,IF(AJ2&gt;9,2,IF(AJ2&gt;8,1,0))))))</f>
        <v>3</v>
      </c>
      <c r="AT8" s="201"/>
      <c r="AU8" s="51"/>
      <c r="AV8" s="194">
        <v>5</v>
      </c>
      <c r="AW8" s="209"/>
      <c r="AX8" s="198">
        <v>0</v>
      </c>
      <c r="AY8" s="199"/>
      <c r="AZ8" s="54" t="s">
        <v>45</v>
      </c>
      <c r="BA8" s="200">
        <f>IF(OR(AJ3=9,AJ3=10,AJ3=11),3,IF(OR(AJ3=12,AJ3=13,AJ3=14,AJ3=15,AJ3=16),4,IF(OR(AJ3=17,AJ3=18,AJ3=19,AJ3=20),5,0)))</f>
        <v>4</v>
      </c>
      <c r="BB8" s="20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row>
    <row r="9" spans="1:97" ht="17.25" x14ac:dyDescent="0.1">
      <c r="A9" s="95"/>
      <c r="B9" s="96"/>
      <c r="C9" s="96"/>
      <c r="D9" s="96"/>
      <c r="E9" s="111"/>
      <c r="F9" s="113"/>
      <c r="G9" s="202"/>
      <c r="H9" s="203"/>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3"/>
      <c r="AI9" s="203"/>
      <c r="AJ9" s="203"/>
      <c r="AK9" s="204"/>
      <c r="AL9" s="64"/>
      <c r="AM9" s="64"/>
      <c r="AN9" s="194">
        <v>6</v>
      </c>
      <c r="AO9" s="194"/>
      <c r="AP9" s="210">
        <v>0</v>
      </c>
      <c r="AQ9" s="211"/>
      <c r="AR9" s="56" t="s">
        <v>45</v>
      </c>
      <c r="AS9" s="212">
        <f>IF(AJ2&gt;20,6,IF(AJ2&gt;19,5,IF(AJ2&gt;18,4,IF(AJ2&gt;14,3,IF(AJ2&gt;11,2,IF(AJ2&gt;10,1,0))))))</f>
        <v>2</v>
      </c>
      <c r="AT9" s="213"/>
      <c r="AU9" s="51"/>
      <c r="AV9" s="194">
        <v>6</v>
      </c>
      <c r="AW9" s="194"/>
      <c r="AX9" s="210" t="s">
        <v>44</v>
      </c>
      <c r="AY9" s="211"/>
      <c r="AZ9" s="56" t="s">
        <v>45</v>
      </c>
      <c r="BA9" s="212" t="str">
        <f>IF(AJ3&gt;10,"玄奥","无")</f>
        <v>玄奥</v>
      </c>
      <c r="BB9" s="213"/>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row>
    <row r="10" spans="1:97" ht="17.25" x14ac:dyDescent="0.1">
      <c r="A10" s="95"/>
      <c r="B10" s="96"/>
      <c r="C10" s="96"/>
      <c r="D10" s="96"/>
      <c r="E10" s="111"/>
      <c r="F10" s="113"/>
      <c r="G10" s="202"/>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4"/>
      <c r="AL10" s="64"/>
      <c r="AM10" s="64"/>
      <c r="AN10" s="194">
        <v>7</v>
      </c>
      <c r="AO10" s="194"/>
      <c r="AP10" s="198">
        <v>0</v>
      </c>
      <c r="AQ10" s="199"/>
      <c r="AR10" s="54" t="s">
        <v>45</v>
      </c>
      <c r="AS10" s="200">
        <f>IF(AJ2&gt;21,6,IF(AJ2&gt;20,5,IF(AJ2&gt;19,4,IF(AJ2&gt;16,3,IF(AJ2&gt;13,2,IF(AJ2&gt;12,1,0))))))</f>
        <v>2</v>
      </c>
      <c r="AT10" s="201"/>
      <c r="AU10" s="51"/>
      <c r="AV10" s="194">
        <v>7</v>
      </c>
      <c r="AW10" s="194"/>
      <c r="AX10" s="198" t="s">
        <v>44</v>
      </c>
      <c r="AY10" s="199"/>
      <c r="AZ10" s="54" t="s">
        <v>45</v>
      </c>
      <c r="BA10" s="200" t="str">
        <f>IF(AJ3&gt;12,"玄奥","无")</f>
        <v>玄奥</v>
      </c>
      <c r="BB10" s="20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row>
    <row r="11" spans="1:97" ht="17.25" x14ac:dyDescent="0.1">
      <c r="A11" s="95"/>
      <c r="B11" s="96"/>
      <c r="C11" s="96"/>
      <c r="D11" s="96"/>
      <c r="E11" s="111"/>
      <c r="F11" s="113"/>
      <c r="G11" s="202"/>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4"/>
      <c r="AL11" s="64"/>
      <c r="AM11" s="64"/>
      <c r="AN11" s="194">
        <v>8</v>
      </c>
      <c r="AO11" s="194"/>
      <c r="AP11" s="205">
        <v>0</v>
      </c>
      <c r="AQ11" s="206"/>
      <c r="AR11" s="55" t="s">
        <v>45</v>
      </c>
      <c r="AS11" s="207">
        <f>IF(AJ2&gt;21,5,IF(AJ2&gt;20,4,IF(AJ2&gt;18,3,IF(AJ2&gt;15,2,IF(AJ2&gt;14,1,0)))))</f>
        <v>0</v>
      </c>
      <c r="AT11" s="208"/>
      <c r="AU11" s="51"/>
      <c r="AV11" s="194">
        <v>8</v>
      </c>
      <c r="AW11" s="194"/>
      <c r="AX11" s="205" t="s">
        <v>44</v>
      </c>
      <c r="AY11" s="206"/>
      <c r="AZ11" s="55" t="s">
        <v>45</v>
      </c>
      <c r="BA11" s="207" t="str">
        <f>IF(AJ3&gt;14,"玄奥","无")</f>
        <v>玄奥</v>
      </c>
      <c r="BB11" s="208"/>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row>
    <row r="12" spans="1:97" ht="17.25" x14ac:dyDescent="0.1">
      <c r="A12" s="95"/>
      <c r="B12" s="96"/>
      <c r="C12" s="96"/>
      <c r="D12" s="96"/>
      <c r="E12" s="111"/>
      <c r="F12" s="113"/>
      <c r="G12" s="202"/>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4"/>
      <c r="AL12" s="64"/>
      <c r="AM12" s="64"/>
      <c r="AN12" s="194">
        <v>9</v>
      </c>
      <c r="AO12" s="209"/>
      <c r="AP12" s="198">
        <v>0</v>
      </c>
      <c r="AQ12" s="199"/>
      <c r="AR12" s="54" t="s">
        <v>45</v>
      </c>
      <c r="AS12" s="200">
        <f>IF(AJ2&gt;21,3,IF(AJ2&gt;18,2,IF(AJ2&gt;16,1,0)))</f>
        <v>0</v>
      </c>
      <c r="AT12" s="201"/>
      <c r="AU12" s="51"/>
      <c r="AV12" s="194">
        <v>9</v>
      </c>
      <c r="AW12" s="209"/>
      <c r="AX12" s="198" t="s">
        <v>44</v>
      </c>
      <c r="AY12" s="199"/>
      <c r="AZ12" s="54" t="s">
        <v>45</v>
      </c>
      <c r="BA12" s="200" t="str">
        <f>IF(AJ3&gt;16,"玄奥","无")</f>
        <v>无</v>
      </c>
      <c r="BB12" s="20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row>
    <row r="13" spans="1:97" ht="14.25" x14ac:dyDescent="0.1">
      <c r="A13" s="95"/>
      <c r="B13" s="96"/>
      <c r="C13" s="96"/>
      <c r="D13" s="96"/>
      <c r="E13" s="111"/>
      <c r="F13" s="113"/>
      <c r="G13" s="202"/>
      <c r="H13" s="203"/>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c r="AK13" s="204"/>
      <c r="AL13" s="64"/>
      <c r="AM13" s="64"/>
      <c r="AN13" s="51"/>
      <c r="AO13" s="51"/>
      <c r="AP13" s="51"/>
      <c r="AQ13" s="51"/>
      <c r="AR13" s="51"/>
      <c r="AS13" s="64" t="s">
        <v>40</v>
      </c>
      <c r="AT13" s="64"/>
      <c r="AU13" s="64"/>
      <c r="AV13" s="51"/>
      <c r="AW13" s="64" t="s">
        <v>41</v>
      </c>
      <c r="AX13" s="64"/>
      <c r="AY13" s="64"/>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row>
    <row r="14" spans="1:97" ht="14.25" x14ac:dyDescent="0.2">
      <c r="A14" s="95"/>
      <c r="B14" s="96"/>
      <c r="C14" s="96"/>
      <c r="D14" s="96"/>
      <c r="E14" s="111"/>
      <c r="F14" s="113"/>
      <c r="G14" s="202"/>
      <c r="H14" s="203"/>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4"/>
      <c r="AL14" s="64"/>
      <c r="AM14" s="64"/>
      <c r="AN14" s="178" t="s">
        <v>216</v>
      </c>
      <c r="AO14" s="147"/>
      <c r="AP14" s="147"/>
      <c r="AQ14" s="147"/>
      <c r="AR14" s="147"/>
      <c r="AS14" s="99"/>
      <c r="AT14" s="100"/>
      <c r="AU14" s="100"/>
      <c r="AV14" s="53" t="s">
        <v>45</v>
      </c>
      <c r="AW14" s="214"/>
      <c r="AX14" s="214"/>
      <c r="AY14" s="215"/>
      <c r="AZ14" s="51" t="s">
        <v>217</v>
      </c>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row>
    <row r="15" spans="1:97" ht="14.25" x14ac:dyDescent="0.1">
      <c r="A15" s="95"/>
      <c r="B15" s="96"/>
      <c r="C15" s="96"/>
      <c r="D15" s="96"/>
      <c r="E15" s="111"/>
      <c r="F15" s="113"/>
      <c r="G15" s="202"/>
      <c r="H15" s="203"/>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4"/>
      <c r="AL15" s="64"/>
      <c r="AM15" s="64"/>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row>
    <row r="16" spans="1:97" ht="14.25" x14ac:dyDescent="0.1">
      <c r="A16" s="95"/>
      <c r="B16" s="96"/>
      <c r="C16" s="96"/>
      <c r="D16" s="96"/>
      <c r="E16" s="111"/>
      <c r="F16" s="113"/>
      <c r="G16" s="202"/>
      <c r="H16" s="203"/>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4"/>
      <c r="AL16" s="64"/>
      <c r="AM16" s="64"/>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row>
    <row r="17" spans="1:97" ht="14.25" x14ac:dyDescent="0.1">
      <c r="A17" s="95"/>
      <c r="B17" s="96"/>
      <c r="C17" s="96"/>
      <c r="D17" s="96"/>
      <c r="E17" s="111"/>
      <c r="F17" s="113"/>
      <c r="G17" s="202"/>
      <c r="H17" s="203"/>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4"/>
      <c r="AL17" s="64"/>
      <c r="AM17" s="64"/>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row>
    <row r="18" spans="1:97" ht="14.25" x14ac:dyDescent="0.1">
      <c r="A18" s="95"/>
      <c r="B18" s="96"/>
      <c r="C18" s="96"/>
      <c r="D18" s="96"/>
      <c r="E18" s="111"/>
      <c r="F18" s="113"/>
      <c r="G18" s="202"/>
      <c r="H18" s="203"/>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3"/>
      <c r="AI18" s="203"/>
      <c r="AJ18" s="203"/>
      <c r="AK18" s="204"/>
      <c r="AL18" s="64"/>
      <c r="AM18" s="64"/>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row>
    <row r="19" spans="1:97" ht="14.25" x14ac:dyDescent="0.1">
      <c r="A19" s="95"/>
      <c r="B19" s="96"/>
      <c r="C19" s="96"/>
      <c r="D19" s="96"/>
      <c r="E19" s="111"/>
      <c r="F19" s="113"/>
      <c r="G19" s="202"/>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4"/>
      <c r="AL19" s="64"/>
      <c r="AM19" s="64"/>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row>
    <row r="20" spans="1:97" ht="14.25" x14ac:dyDescent="0.1">
      <c r="A20" s="95"/>
      <c r="B20" s="96"/>
      <c r="C20" s="96"/>
      <c r="D20" s="96"/>
      <c r="E20" s="111"/>
      <c r="F20" s="113"/>
      <c r="G20" s="202"/>
      <c r="H20" s="203"/>
      <c r="I20" s="203"/>
      <c r="J20" s="203"/>
      <c r="K20" s="203"/>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3"/>
      <c r="AI20" s="203"/>
      <c r="AJ20" s="203"/>
      <c r="AK20" s="204"/>
      <c r="AL20" s="64"/>
      <c r="AM20" s="64"/>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row>
    <row r="21" spans="1:97" ht="14.25" x14ac:dyDescent="0.1">
      <c r="A21" s="95"/>
      <c r="B21" s="96"/>
      <c r="C21" s="96"/>
      <c r="D21" s="96"/>
      <c r="E21" s="111"/>
      <c r="F21" s="113"/>
      <c r="G21" s="202"/>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c r="AK21" s="204"/>
      <c r="AL21" s="64"/>
      <c r="AM21" s="64"/>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row>
    <row r="22" spans="1:97" ht="14.25" x14ac:dyDescent="0.1">
      <c r="A22" s="95"/>
      <c r="B22" s="96"/>
      <c r="C22" s="96"/>
      <c r="D22" s="96"/>
      <c r="E22" s="111"/>
      <c r="F22" s="113"/>
      <c r="G22" s="202"/>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4"/>
      <c r="AL22" s="64"/>
      <c r="AM22" s="64"/>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row>
    <row r="23" spans="1:97" ht="14.25" x14ac:dyDescent="0.1">
      <c r="A23" s="95"/>
      <c r="B23" s="96"/>
      <c r="C23" s="96"/>
      <c r="D23" s="96"/>
      <c r="E23" s="111"/>
      <c r="F23" s="113"/>
      <c r="G23" s="202"/>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4"/>
      <c r="AL23" s="64"/>
      <c r="AM23" s="64"/>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row>
    <row r="24" spans="1:97" ht="14.25" x14ac:dyDescent="0.1">
      <c r="A24" s="95"/>
      <c r="B24" s="96"/>
      <c r="C24" s="96"/>
      <c r="D24" s="96"/>
      <c r="E24" s="111"/>
      <c r="F24" s="113"/>
      <c r="G24" s="202"/>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4"/>
      <c r="AL24" s="64"/>
      <c r="AM24" s="64"/>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row>
    <row r="25" spans="1:97" ht="14.25" x14ac:dyDescent="0.1">
      <c r="A25" s="95"/>
      <c r="B25" s="96"/>
      <c r="C25" s="96"/>
      <c r="D25" s="96"/>
      <c r="E25" s="111"/>
      <c r="F25" s="113"/>
      <c r="G25" s="202"/>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4"/>
      <c r="AL25" s="64"/>
      <c r="AM25" s="64"/>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row>
    <row r="26" spans="1:97" ht="14.25" x14ac:dyDescent="0.1">
      <c r="A26" s="95"/>
      <c r="B26" s="96"/>
      <c r="C26" s="96"/>
      <c r="D26" s="96"/>
      <c r="E26" s="111"/>
      <c r="F26" s="113"/>
      <c r="G26" s="202"/>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4"/>
      <c r="AL26" s="64"/>
      <c r="AM26" s="64"/>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row>
    <row r="27" spans="1:97" ht="14.25" x14ac:dyDescent="0.1">
      <c r="A27" s="95"/>
      <c r="B27" s="96"/>
      <c r="C27" s="96"/>
      <c r="D27" s="96"/>
      <c r="E27" s="111"/>
      <c r="F27" s="113"/>
      <c r="G27" s="202"/>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4"/>
      <c r="AL27" s="64"/>
      <c r="AM27" s="64"/>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row>
    <row r="28" spans="1:97" ht="14.25" x14ac:dyDescent="0.1">
      <c r="A28" s="95"/>
      <c r="B28" s="96"/>
      <c r="C28" s="96"/>
      <c r="D28" s="96"/>
      <c r="E28" s="111"/>
      <c r="F28" s="113"/>
      <c r="G28" s="202"/>
      <c r="H28" s="203"/>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4"/>
      <c r="AL28" s="64"/>
      <c r="AM28" s="64"/>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row>
    <row r="29" spans="1:97" ht="14.25" x14ac:dyDescent="0.1">
      <c r="A29" s="95"/>
      <c r="B29" s="96"/>
      <c r="C29" s="96"/>
      <c r="D29" s="96"/>
      <c r="E29" s="111"/>
      <c r="F29" s="113"/>
      <c r="G29" s="202"/>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4"/>
      <c r="AL29" s="64"/>
      <c r="AM29" s="64"/>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row>
    <row r="30" spans="1:97" ht="14.25" x14ac:dyDescent="0.1">
      <c r="A30" s="95"/>
      <c r="B30" s="96"/>
      <c r="C30" s="96"/>
      <c r="D30" s="96"/>
      <c r="E30" s="111"/>
      <c r="F30" s="113"/>
      <c r="G30" s="202"/>
      <c r="H30" s="203"/>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4"/>
      <c r="AL30" s="64"/>
      <c r="AM30" s="64"/>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row>
    <row r="31" spans="1:97" ht="14.25" x14ac:dyDescent="0.1">
      <c r="A31" s="95"/>
      <c r="B31" s="96"/>
      <c r="C31" s="96"/>
      <c r="D31" s="96"/>
      <c r="E31" s="111"/>
      <c r="F31" s="113"/>
      <c r="G31" s="202"/>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4"/>
      <c r="AL31" s="64"/>
      <c r="AM31" s="64"/>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row>
    <row r="32" spans="1:97" ht="14.25" x14ac:dyDescent="0.1">
      <c r="A32" s="95"/>
      <c r="B32" s="96"/>
      <c r="C32" s="96"/>
      <c r="D32" s="96"/>
      <c r="E32" s="111"/>
      <c r="F32" s="113"/>
      <c r="G32" s="202"/>
      <c r="H32" s="203"/>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4"/>
      <c r="AL32" s="64"/>
      <c r="AM32" s="64"/>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row>
    <row r="33" spans="1:97" ht="14.25" x14ac:dyDescent="0.1">
      <c r="A33" s="95"/>
      <c r="B33" s="96"/>
      <c r="C33" s="96"/>
      <c r="D33" s="96"/>
      <c r="E33" s="111"/>
      <c r="F33" s="113"/>
      <c r="G33" s="202"/>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4"/>
      <c r="AL33" s="64"/>
      <c r="AM33" s="64"/>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row>
    <row r="34" spans="1:97" ht="14.25" x14ac:dyDescent="0.1">
      <c r="A34" s="95"/>
      <c r="B34" s="96"/>
      <c r="C34" s="96"/>
      <c r="D34" s="96"/>
      <c r="E34" s="111"/>
      <c r="F34" s="113"/>
      <c r="G34" s="202"/>
      <c r="H34" s="203"/>
      <c r="I34" s="203"/>
      <c r="J34" s="203"/>
      <c r="K34" s="203"/>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3"/>
      <c r="AI34" s="203"/>
      <c r="AJ34" s="203"/>
      <c r="AK34" s="204"/>
      <c r="AL34" s="64"/>
      <c r="AM34" s="64"/>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row>
    <row r="35" spans="1:97" ht="14.25" x14ac:dyDescent="0.1">
      <c r="A35" s="95"/>
      <c r="B35" s="96"/>
      <c r="C35" s="96"/>
      <c r="D35" s="96"/>
      <c r="E35" s="111"/>
      <c r="F35" s="113"/>
      <c r="G35" s="202"/>
      <c r="H35" s="203"/>
      <c r="I35" s="203"/>
      <c r="J35" s="203"/>
      <c r="K35" s="203"/>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3"/>
      <c r="AI35" s="203"/>
      <c r="AJ35" s="203"/>
      <c r="AK35" s="204"/>
      <c r="AL35" s="64"/>
      <c r="AM35" s="64"/>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row>
    <row r="36" spans="1:97" ht="14.25" x14ac:dyDescent="0.1">
      <c r="A36" s="95"/>
      <c r="B36" s="96"/>
      <c r="C36" s="96"/>
      <c r="D36" s="96"/>
      <c r="E36" s="111"/>
      <c r="F36" s="113"/>
      <c r="G36" s="202"/>
      <c r="H36" s="203"/>
      <c r="I36" s="203"/>
      <c r="J36" s="203"/>
      <c r="K36" s="203"/>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4"/>
      <c r="AL36" s="64"/>
      <c r="AM36" s="64"/>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row>
    <row r="37" spans="1:97" ht="14.25" x14ac:dyDescent="0.1">
      <c r="A37" s="95"/>
      <c r="B37" s="96"/>
      <c r="C37" s="96"/>
      <c r="D37" s="96"/>
      <c r="E37" s="111"/>
      <c r="F37" s="113"/>
      <c r="G37" s="202"/>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4"/>
      <c r="AL37" s="64"/>
      <c r="AM37" s="64"/>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row>
    <row r="38" spans="1:97" ht="14.25" x14ac:dyDescent="0.1">
      <c r="A38" s="95"/>
      <c r="B38" s="96"/>
      <c r="C38" s="96"/>
      <c r="D38" s="96"/>
      <c r="E38" s="111"/>
      <c r="F38" s="113"/>
      <c r="G38" s="202"/>
      <c r="H38" s="203"/>
      <c r="I38" s="203"/>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4"/>
      <c r="AL38" s="64"/>
      <c r="AM38" s="64"/>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row>
    <row r="39" spans="1:97" ht="14.25" x14ac:dyDescent="0.1">
      <c r="A39" s="95"/>
      <c r="B39" s="96"/>
      <c r="C39" s="96"/>
      <c r="D39" s="96"/>
      <c r="E39" s="111"/>
      <c r="F39" s="113"/>
      <c r="G39" s="202"/>
      <c r="H39" s="203"/>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4"/>
      <c r="AL39" s="64"/>
      <c r="AM39" s="64"/>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row>
    <row r="40" spans="1:97" ht="14.25" x14ac:dyDescent="0.1">
      <c r="A40" s="95"/>
      <c r="B40" s="96"/>
      <c r="C40" s="96"/>
      <c r="D40" s="96"/>
      <c r="E40" s="111"/>
      <c r="F40" s="113"/>
      <c r="G40" s="202"/>
      <c r="H40" s="203"/>
      <c r="I40" s="203"/>
      <c r="J40" s="203"/>
      <c r="K40" s="203"/>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4"/>
      <c r="AL40" s="64"/>
      <c r="AM40" s="64"/>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row>
    <row r="41" spans="1:97" ht="14.25" x14ac:dyDescent="0.1">
      <c r="A41" s="95"/>
      <c r="B41" s="96"/>
      <c r="C41" s="96"/>
      <c r="D41" s="96"/>
      <c r="E41" s="111"/>
      <c r="F41" s="113"/>
      <c r="G41" s="202"/>
      <c r="H41" s="203"/>
      <c r="I41" s="203"/>
      <c r="J41" s="203"/>
      <c r="K41" s="203"/>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4"/>
      <c r="AL41" s="64"/>
      <c r="AM41" s="64"/>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row>
    <row r="42" spans="1:97" ht="14.25" x14ac:dyDescent="0.1">
      <c r="A42" s="95"/>
      <c r="B42" s="96"/>
      <c r="C42" s="96"/>
      <c r="D42" s="96"/>
      <c r="E42" s="111"/>
      <c r="F42" s="113"/>
      <c r="G42" s="202"/>
      <c r="H42" s="203"/>
      <c r="I42" s="203"/>
      <c r="J42" s="203"/>
      <c r="K42" s="203"/>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4"/>
      <c r="AL42" s="64"/>
      <c r="AM42" s="64"/>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row>
    <row r="43" spans="1:97" ht="14.25" x14ac:dyDescent="0.1">
      <c r="A43" s="95"/>
      <c r="B43" s="96"/>
      <c r="C43" s="96"/>
      <c r="D43" s="96"/>
      <c r="E43" s="111"/>
      <c r="F43" s="113"/>
      <c r="G43" s="202"/>
      <c r="H43" s="203"/>
      <c r="I43" s="203"/>
      <c r="J43" s="203"/>
      <c r="K43" s="203"/>
      <c r="L43" s="203"/>
      <c r="M43" s="203"/>
      <c r="N43" s="203"/>
      <c r="O43" s="203"/>
      <c r="P43" s="203"/>
      <c r="Q43" s="203"/>
      <c r="R43" s="203"/>
      <c r="S43" s="203"/>
      <c r="T43" s="203"/>
      <c r="U43" s="203"/>
      <c r="V43" s="203"/>
      <c r="W43" s="203"/>
      <c r="X43" s="203"/>
      <c r="Y43" s="203"/>
      <c r="Z43" s="203"/>
      <c r="AA43" s="203"/>
      <c r="AB43" s="203"/>
      <c r="AC43" s="203"/>
      <c r="AD43" s="203"/>
      <c r="AE43" s="203"/>
      <c r="AF43" s="203"/>
      <c r="AG43" s="203"/>
      <c r="AH43" s="203"/>
      <c r="AI43" s="203"/>
      <c r="AJ43" s="203"/>
      <c r="AK43" s="204"/>
      <c r="AL43" s="64"/>
      <c r="AM43" s="64"/>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row>
    <row r="44" spans="1:97" ht="14.25" x14ac:dyDescent="0.1">
      <c r="A44" s="95"/>
      <c r="B44" s="96"/>
      <c r="C44" s="96"/>
      <c r="D44" s="96"/>
      <c r="E44" s="111"/>
      <c r="F44" s="113"/>
      <c r="G44" s="202"/>
      <c r="H44" s="203"/>
      <c r="I44" s="203"/>
      <c r="J44" s="203"/>
      <c r="K44" s="203"/>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4"/>
      <c r="AL44" s="64"/>
      <c r="AM44" s="64"/>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row>
    <row r="45" spans="1:97" ht="14.25" x14ac:dyDescent="0.1">
      <c r="A45" s="95"/>
      <c r="B45" s="96"/>
      <c r="C45" s="96"/>
      <c r="D45" s="96"/>
      <c r="E45" s="111"/>
      <c r="F45" s="113"/>
      <c r="G45" s="202"/>
      <c r="H45" s="203"/>
      <c r="I45" s="203"/>
      <c r="J45" s="203"/>
      <c r="K45" s="203"/>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4"/>
      <c r="AL45" s="64"/>
      <c r="AM45" s="64"/>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row>
    <row r="46" spans="1:97" ht="14.25" x14ac:dyDescent="0.1">
      <c r="A46" s="95"/>
      <c r="B46" s="96"/>
      <c r="C46" s="96"/>
      <c r="D46" s="96"/>
      <c r="E46" s="111"/>
      <c r="F46" s="113"/>
      <c r="G46" s="202"/>
      <c r="H46" s="203"/>
      <c r="I46" s="203"/>
      <c r="J46" s="203"/>
      <c r="K46" s="203"/>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3"/>
      <c r="AI46" s="203"/>
      <c r="AJ46" s="203"/>
      <c r="AK46" s="204"/>
      <c r="AL46" s="64"/>
      <c r="AM46" s="64"/>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row>
    <row r="47" spans="1:97"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row>
    <row r="48" spans="1:97"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row>
    <row r="49" spans="1:97"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row>
    <row r="50" spans="1:97"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row>
    <row r="51" spans="1:97"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row>
    <row r="52" spans="1:97"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row>
    <row r="53" spans="1:97"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row>
    <row r="54" spans="1:97"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row>
    <row r="55" spans="1:97"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row>
    <row r="56" spans="1:97"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row>
    <row r="57" spans="1:97"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row>
    <row r="58" spans="1:97"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row>
    <row r="59" spans="1:97"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row>
    <row r="60" spans="1:97" ht="14.25" x14ac:dyDescent="0.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row>
    <row r="61" spans="1:97" ht="14.25" x14ac:dyDescent="0.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row>
    <row r="62" spans="1:97" ht="14.25" x14ac:dyDescent="0.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row>
    <row r="63" spans="1:97" ht="14.25" x14ac:dyDescent="0.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row>
    <row r="64" spans="1:97" ht="14.25" x14ac:dyDescent="0.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row>
    <row r="65" spans="1:97" ht="14.25" x14ac:dyDescent="0.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row>
    <row r="66" spans="1:97" ht="14.25" x14ac:dyDescent="0.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row>
    <row r="67" spans="1:97" ht="14.25" x14ac:dyDescent="0.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row>
    <row r="68" spans="1:97" ht="14.25" x14ac:dyDescent="0.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row>
    <row r="69" spans="1:97" ht="14.25" x14ac:dyDescent="0.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row>
    <row r="70" spans="1:97" ht="14.25" x14ac:dyDescent="0.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row>
    <row r="71" spans="1:97" ht="14.25" x14ac:dyDescent="0.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row>
    <row r="72" spans="1:97" ht="14.25" x14ac:dyDescent="0.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row>
    <row r="73" spans="1:97" ht="14.25" x14ac:dyDescent="0.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row>
    <row r="74" spans="1:97" ht="14.25" x14ac:dyDescent="0.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row>
    <row r="75" spans="1:97" ht="14.25" x14ac:dyDescent="0.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row>
    <row r="76" spans="1:97" ht="14.25" x14ac:dyDescent="0.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row>
    <row r="77" spans="1:97" ht="14.25" x14ac:dyDescent="0.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row>
    <row r="78" spans="1:97" ht="14.25" x14ac:dyDescent="0.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row>
    <row r="79" spans="1:97" ht="14.25" x14ac:dyDescent="0.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row>
    <row r="80" spans="1:97" ht="14.25" x14ac:dyDescent="0.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row>
    <row r="81" spans="1:97" ht="14.25" x14ac:dyDescent="0.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row>
    <row r="82" spans="1:97" ht="14.25" x14ac:dyDescent="0.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row>
    <row r="83" spans="1:97" ht="14.25" x14ac:dyDescent="0.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row>
    <row r="84" spans="1:97" ht="14.25" x14ac:dyDescent="0.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row>
    <row r="85" spans="1:97" ht="14.25" x14ac:dyDescent="0.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row>
    <row r="86" spans="1:97" ht="14.25" x14ac:dyDescent="0.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row>
    <row r="87" spans="1:97" ht="14.25" x14ac:dyDescent="0.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row>
    <row r="88" spans="1:97" ht="14.25" x14ac:dyDescent="0.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row>
    <row r="89" spans="1:97" ht="14.25" x14ac:dyDescent="0.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row>
    <row r="90" spans="1:97" ht="14.25" x14ac:dyDescent="0.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row>
    <row r="91" spans="1:97" ht="14.25" x14ac:dyDescent="0.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row>
    <row r="92" spans="1:97" ht="14.25" x14ac:dyDescent="0.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row>
    <row r="93" spans="1:97" ht="14.25" x14ac:dyDescent="0.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row>
    <row r="94" spans="1:97" ht="14.25" x14ac:dyDescent="0.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row>
    <row r="95" spans="1:97" ht="14.25" x14ac:dyDescent="0.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row>
    <row r="96" spans="1:97" ht="14.25" x14ac:dyDescent="0.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row>
    <row r="97" spans="1:97" ht="14.25" x14ac:dyDescent="0.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row>
    <row r="98" spans="1:97" ht="14.25" x14ac:dyDescent="0.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row>
    <row r="99" spans="1:97" ht="14.25" x14ac:dyDescent="0.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row>
    <row r="100" spans="1:97" ht="14.25" x14ac:dyDescent="0.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row>
    <row r="101" spans="1:97" ht="14.25" x14ac:dyDescent="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row>
    <row r="102" spans="1:97" ht="14.25" x14ac:dyDescent="0.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row>
    <row r="103" spans="1:97" ht="14.25" x14ac:dyDescent="0.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row>
    <row r="104" spans="1:97" ht="14.25" x14ac:dyDescent="0.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row>
    <row r="105" spans="1:97" ht="14.25" x14ac:dyDescent="0.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row>
    <row r="106" spans="1:97" ht="14.25" x14ac:dyDescent="0.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row>
    <row r="107" spans="1:97" ht="14.25" x14ac:dyDescent="0.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row>
    <row r="108" spans="1:97" ht="14.25" x14ac:dyDescent="0.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row>
    <row r="109" spans="1:97" ht="14.25" x14ac:dyDescent="0.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row>
    <row r="110" spans="1:97" ht="14.25" x14ac:dyDescent="0.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row>
    <row r="111" spans="1:97" ht="14.25" x14ac:dyDescent="0.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row>
  </sheetData>
  <mergeCells count="257">
    <mergeCell ref="A45:D45"/>
    <mergeCell ref="E45:F45"/>
    <mergeCell ref="G45:AK45"/>
    <mergeCell ref="AL45:AM45"/>
    <mergeCell ref="A46:D46"/>
    <mergeCell ref="E46:F46"/>
    <mergeCell ref="G46:AK46"/>
    <mergeCell ref="AL46:AM46"/>
    <mergeCell ref="A42:D42"/>
    <mergeCell ref="E42:F42"/>
    <mergeCell ref="G42:AK42"/>
    <mergeCell ref="AL42:AM42"/>
    <mergeCell ref="A43:D43"/>
    <mergeCell ref="E43:F43"/>
    <mergeCell ref="G43:AK43"/>
    <mergeCell ref="AL43:AM43"/>
    <mergeCell ref="A44:D44"/>
    <mergeCell ref="E44:F44"/>
    <mergeCell ref="G44:AK44"/>
    <mergeCell ref="AL44:AM44"/>
    <mergeCell ref="A39:D39"/>
    <mergeCell ref="E39:F39"/>
    <mergeCell ref="G39:AK39"/>
    <mergeCell ref="AL39:AM39"/>
    <mergeCell ref="A40:D40"/>
    <mergeCell ref="E40:F40"/>
    <mergeCell ref="G40:AK40"/>
    <mergeCell ref="AL40:AM40"/>
    <mergeCell ref="A41:D41"/>
    <mergeCell ref="E41:F41"/>
    <mergeCell ref="G41:AK41"/>
    <mergeCell ref="AL41:AM41"/>
    <mergeCell ref="A36:D36"/>
    <mergeCell ref="E36:F36"/>
    <mergeCell ref="G36:AK36"/>
    <mergeCell ref="AL36:AM36"/>
    <mergeCell ref="A37:D37"/>
    <mergeCell ref="E37:F37"/>
    <mergeCell ref="G37:AK37"/>
    <mergeCell ref="AL37:AM37"/>
    <mergeCell ref="A38:D38"/>
    <mergeCell ref="E38:F38"/>
    <mergeCell ref="G38:AK38"/>
    <mergeCell ref="AL38:AM38"/>
    <mergeCell ref="A33:D33"/>
    <mergeCell ref="E33:F33"/>
    <mergeCell ref="G33:AK33"/>
    <mergeCell ref="AL33:AM33"/>
    <mergeCell ref="A34:D34"/>
    <mergeCell ref="E34:F34"/>
    <mergeCell ref="G34:AK34"/>
    <mergeCell ref="AL34:AM34"/>
    <mergeCell ref="A35:D35"/>
    <mergeCell ref="E35:F35"/>
    <mergeCell ref="G35:AK35"/>
    <mergeCell ref="AL35:AM35"/>
    <mergeCell ref="A30:D30"/>
    <mergeCell ref="E30:F30"/>
    <mergeCell ref="G30:AK30"/>
    <mergeCell ref="AL30:AM30"/>
    <mergeCell ref="A31:D31"/>
    <mergeCell ref="E31:F31"/>
    <mergeCell ref="G31:AK31"/>
    <mergeCell ref="AL31:AM31"/>
    <mergeCell ref="A32:D32"/>
    <mergeCell ref="E32:F32"/>
    <mergeCell ref="G32:AK32"/>
    <mergeCell ref="AL32:AM32"/>
    <mergeCell ref="A27:D27"/>
    <mergeCell ref="E27:F27"/>
    <mergeCell ref="G27:AK27"/>
    <mergeCell ref="AL27:AM27"/>
    <mergeCell ref="A28:D28"/>
    <mergeCell ref="E28:F28"/>
    <mergeCell ref="G28:AK28"/>
    <mergeCell ref="AL28:AM28"/>
    <mergeCell ref="A29:D29"/>
    <mergeCell ref="E29:F29"/>
    <mergeCell ref="G29:AK29"/>
    <mergeCell ref="AL29:AM29"/>
    <mergeCell ref="A24:D24"/>
    <mergeCell ref="E24:F24"/>
    <mergeCell ref="G24:AK24"/>
    <mergeCell ref="AL24:AM24"/>
    <mergeCell ref="A25:D25"/>
    <mergeCell ref="E25:F25"/>
    <mergeCell ref="G25:AK25"/>
    <mergeCell ref="AL25:AM25"/>
    <mergeCell ref="A26:D26"/>
    <mergeCell ref="E26:F26"/>
    <mergeCell ref="G26:AK26"/>
    <mergeCell ref="AL26:AM26"/>
    <mergeCell ref="A21:D21"/>
    <mergeCell ref="E21:F21"/>
    <mergeCell ref="G21:AK21"/>
    <mergeCell ref="AL21:AM21"/>
    <mergeCell ref="A22:D22"/>
    <mergeCell ref="E22:F22"/>
    <mergeCell ref="G22:AK22"/>
    <mergeCell ref="AL22:AM22"/>
    <mergeCell ref="A23:D23"/>
    <mergeCell ref="E23:F23"/>
    <mergeCell ref="G23:AK23"/>
    <mergeCell ref="AL23:AM23"/>
    <mergeCell ref="A18:D18"/>
    <mergeCell ref="E18:F18"/>
    <mergeCell ref="G18:AK18"/>
    <mergeCell ref="AL18:AM18"/>
    <mergeCell ref="A19:D19"/>
    <mergeCell ref="E19:F19"/>
    <mergeCell ref="G19:AK19"/>
    <mergeCell ref="AL19:AM19"/>
    <mergeCell ref="A20:D20"/>
    <mergeCell ref="E20:F20"/>
    <mergeCell ref="G20:AK20"/>
    <mergeCell ref="AL20:AM20"/>
    <mergeCell ref="A15:D15"/>
    <mergeCell ref="E15:F15"/>
    <mergeCell ref="G15:AK15"/>
    <mergeCell ref="AL15:AM15"/>
    <mergeCell ref="A16:D16"/>
    <mergeCell ref="E16:F16"/>
    <mergeCell ref="G16:AK16"/>
    <mergeCell ref="AL16:AM16"/>
    <mergeCell ref="A17:D17"/>
    <mergeCell ref="E17:F17"/>
    <mergeCell ref="G17:AK17"/>
    <mergeCell ref="AL17:AM17"/>
    <mergeCell ref="A13:D13"/>
    <mergeCell ref="E13:F13"/>
    <mergeCell ref="G13:AK13"/>
    <mergeCell ref="AL13:AM13"/>
    <mergeCell ref="AS13:AU13"/>
    <mergeCell ref="AW13:AY13"/>
    <mergeCell ref="A14:D14"/>
    <mergeCell ref="E14:F14"/>
    <mergeCell ref="G14:AK14"/>
    <mergeCell ref="AL14:AM14"/>
    <mergeCell ref="AN14:AR14"/>
    <mergeCell ref="AS14:AU14"/>
    <mergeCell ref="AW14:AY14"/>
    <mergeCell ref="BA11:BB11"/>
    <mergeCell ref="A12:D12"/>
    <mergeCell ref="E12:F12"/>
    <mergeCell ref="G12:AK12"/>
    <mergeCell ref="AL12:AM12"/>
    <mergeCell ref="AN12:AO12"/>
    <mergeCell ref="AP12:AQ12"/>
    <mergeCell ref="AS12:AT12"/>
    <mergeCell ref="AV12:AW12"/>
    <mergeCell ref="AX12:AY12"/>
    <mergeCell ref="BA12:BB12"/>
    <mergeCell ref="A11:D11"/>
    <mergeCell ref="E11:F11"/>
    <mergeCell ref="G11:AK11"/>
    <mergeCell ref="AL11:AM11"/>
    <mergeCell ref="AN11:AO11"/>
    <mergeCell ref="AP11:AQ11"/>
    <mergeCell ref="AS11:AT11"/>
    <mergeCell ref="AV11:AW11"/>
    <mergeCell ref="AX11:AY11"/>
    <mergeCell ref="BA9:BB9"/>
    <mergeCell ref="A10:D10"/>
    <mergeCell ref="E10:F10"/>
    <mergeCell ref="G10:AK10"/>
    <mergeCell ref="AL10:AM10"/>
    <mergeCell ref="AN10:AO10"/>
    <mergeCell ref="AP10:AQ10"/>
    <mergeCell ref="AS10:AT10"/>
    <mergeCell ref="AV10:AW10"/>
    <mergeCell ref="AX10:AY10"/>
    <mergeCell ref="BA10:BB10"/>
    <mergeCell ref="A9:D9"/>
    <mergeCell ref="E9:F9"/>
    <mergeCell ref="G9:AK9"/>
    <mergeCell ref="AL9:AM9"/>
    <mergeCell ref="AN9:AO9"/>
    <mergeCell ref="AP9:AQ9"/>
    <mergeCell ref="AS9:AT9"/>
    <mergeCell ref="AV9:AW9"/>
    <mergeCell ref="AX9:AY9"/>
    <mergeCell ref="BA7:BB7"/>
    <mergeCell ref="A8:D8"/>
    <mergeCell ref="E8:F8"/>
    <mergeCell ref="G8:AK8"/>
    <mergeCell ref="AL8:AM8"/>
    <mergeCell ref="AN8:AO8"/>
    <mergeCell ref="AP8:AQ8"/>
    <mergeCell ref="AS8:AT8"/>
    <mergeCell ref="AV8:AW8"/>
    <mergeCell ref="AX8:AY8"/>
    <mergeCell ref="BA8:BB8"/>
    <mergeCell ref="A7:D7"/>
    <mergeCell ref="E7:F7"/>
    <mergeCell ref="G7:AK7"/>
    <mergeCell ref="AL7:AM7"/>
    <mergeCell ref="AN7:AO7"/>
    <mergeCell ref="AP7:AQ7"/>
    <mergeCell ref="AS7:AT7"/>
    <mergeCell ref="AV7:AW7"/>
    <mergeCell ref="AX7:AY7"/>
    <mergeCell ref="BA5:BB5"/>
    <mergeCell ref="A6:D6"/>
    <mergeCell ref="E6:F6"/>
    <mergeCell ref="G6:AK6"/>
    <mergeCell ref="AL6:AM6"/>
    <mergeCell ref="AN6:AO6"/>
    <mergeCell ref="AP6:AQ6"/>
    <mergeCell ref="AS6:AT6"/>
    <mergeCell ref="AV6:AW6"/>
    <mergeCell ref="AX6:AY6"/>
    <mergeCell ref="BA6:BB6"/>
    <mergeCell ref="A5:D5"/>
    <mergeCell ref="E5:F5"/>
    <mergeCell ref="G5:AK5"/>
    <mergeCell ref="AL5:AM5"/>
    <mergeCell ref="AN5:AO5"/>
    <mergeCell ref="AP5:AQ5"/>
    <mergeCell ref="AS5:AT5"/>
    <mergeCell ref="AV5:AW5"/>
    <mergeCell ref="AX5:AY5"/>
    <mergeCell ref="AP3:AT3"/>
    <mergeCell ref="AV3:AW3"/>
    <mergeCell ref="AX3:BB3"/>
    <mergeCell ref="A4:D4"/>
    <mergeCell ref="E4:F4"/>
    <mergeCell ref="G4:AK4"/>
    <mergeCell ref="AL4:AM4"/>
    <mergeCell ref="AN4:AO4"/>
    <mergeCell ref="AP4:AQ4"/>
    <mergeCell ref="AS4:AT4"/>
    <mergeCell ref="AV4:AW4"/>
    <mergeCell ref="AX4:AY4"/>
    <mergeCell ref="BA4:BB4"/>
    <mergeCell ref="A3:D3"/>
    <mergeCell ref="E3:G3"/>
    <mergeCell ref="I3:M3"/>
    <mergeCell ref="N3:P3"/>
    <mergeCell ref="R3:V3"/>
    <mergeCell ref="W3:Y3"/>
    <mergeCell ref="AF3:AI3"/>
    <mergeCell ref="AJ3:AK3"/>
    <mergeCell ref="AN3:AO3"/>
    <mergeCell ref="A1:BB1"/>
    <mergeCell ref="A2:D2"/>
    <mergeCell ref="E2:G2"/>
    <mergeCell ref="I2:M2"/>
    <mergeCell ref="N2:P2"/>
    <mergeCell ref="R2:V2"/>
    <mergeCell ref="W2:Z2"/>
    <mergeCell ref="AA2:AC2"/>
    <mergeCell ref="AF2:AI2"/>
    <mergeCell ref="AJ2:AK2"/>
    <mergeCell ref="AN2:AO2"/>
    <mergeCell ref="AP2:AT2"/>
    <mergeCell ref="AV2:AW2"/>
    <mergeCell ref="AX2:BB2"/>
  </mergeCells>
  <dataValidations count="11">
    <dataValidation type="list" allowBlank="1" showInputMessage="1" showErrorMessage="1" sqref="W2:Z2" xr:uid="{00000000-0002-0000-0400-000000000000}">
      <formula1>"准备法术,已知法术"</formula1>
    </dataValidation>
    <dataValidation type="list" allowBlank="1" showInputMessage="1" showErrorMessage="1" sqref="AJ2:AK2" xr:uid="{00000000-0002-0000-0400-000001000000}">
      <formula1>"0,1,2,3,4,5,6,7,8,9,10,11,12,13,14,15,16,17,18,19,20,21,22"</formula1>
    </dataValidation>
    <dataValidation type="list" allowBlank="1" showInputMessage="1" showErrorMessage="1" sqref="AJ3:AK3" xr:uid="{00000000-0002-0000-0400-000002000000}">
      <formula1>"0,1,2,3,4,5,6,7,8,9,10,11,12,13,14,15,16,17,18,19,20"</formula1>
    </dataValidation>
    <dataValidation type="list" allowBlank="1" showInputMessage="1" showErrorMessage="1" sqref="AX7:AY7 AP12:AQ12" xr:uid="{00000000-0002-0000-0400-000003000000}">
      <formula1>"0,1,2,3"</formula1>
    </dataValidation>
    <dataValidation type="list" allowBlank="1" showInputMessage="1" showErrorMessage="1" sqref="AP8:AQ8 AX8:AY8 AP11:AQ11" xr:uid="{00000000-0002-0000-0400-000004000000}">
      <formula1>"0,1,2,3,4,5"</formula1>
    </dataValidation>
    <dataValidation type="list" allowBlank="1" showInputMessage="1" showErrorMessage="1" sqref="S5:S46" xr:uid="{00000000-0002-0000-0400-000005000000}">
      <formula1>"守序善良,中立善良,混乱善良,守序中立,绝对中立,混乱中立,守序邪恶,中立邪恶,混乱邪恶"</formula1>
    </dataValidation>
    <dataValidation type="list" allowBlank="1" showInputMessage="1" showErrorMessage="1" sqref="AP4:AQ7 AP9:AQ10" xr:uid="{00000000-0002-0000-0400-000006000000}">
      <formula1>"0,1,2,3,4,5,6"</formula1>
    </dataValidation>
    <dataValidation type="list" allowBlank="1" showInputMessage="1" showErrorMessage="1" sqref="AX4:AY6" xr:uid="{00000000-0002-0000-0400-000007000000}">
      <formula1>"0,1,2"</formula1>
    </dataValidation>
    <dataValidation allowBlank="1" showInputMessage="1" showErrorMessage="1" sqref="A5:D46" xr:uid="{00000000-0002-0000-0400-000008000000}"/>
    <dataValidation type="list" allowBlank="1" showInputMessage="1" showErrorMessage="1" sqref="E5:F46" xr:uid="{00000000-0002-0000-0400-000009000000}">
      <formula1>"戏法,一环,二环,三环,四环,五环,六环,七环,八环,九环,传奇"</formula1>
    </dataValidation>
    <dataValidation type="list" allowBlank="1" showInputMessage="1" showErrorMessage="1" sqref="AX9:AY12" xr:uid="{00000000-0002-0000-0400-00000A000000}">
      <formula1>"有,无"</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CS111"/>
  <sheetViews>
    <sheetView topLeftCell="AX1" workbookViewId="0">
      <selection activeCell="E4" sqref="E4:F4"/>
    </sheetView>
  </sheetViews>
  <sheetFormatPr defaultColWidth="2.7265625" defaultRowHeight="13.5" x14ac:dyDescent="0.1"/>
  <cols>
    <col min="1" max="1" width="2.7265625" customWidth="1"/>
  </cols>
  <sheetData>
    <row r="1" spans="1:97" ht="17.25" x14ac:dyDescent="0.1">
      <c r="A1" s="92" t="s">
        <v>127</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row>
    <row r="2" spans="1:97" ht="14.25" x14ac:dyDescent="0.2">
      <c r="A2" s="178" t="s">
        <v>105</v>
      </c>
      <c r="B2" s="147"/>
      <c r="C2" s="147"/>
      <c r="D2" s="147"/>
      <c r="E2" s="132" t="str">
        <f>主要情况!Q28</f>
        <v>力量</v>
      </c>
      <c r="F2" s="132"/>
      <c r="G2" s="132"/>
      <c r="H2" s="51"/>
      <c r="I2" s="178" t="s">
        <v>122</v>
      </c>
      <c r="J2" s="147"/>
      <c r="K2" s="147"/>
      <c r="L2" s="147"/>
      <c r="M2" s="132">
        <f>主要情况!Y28</f>
        <v>5</v>
      </c>
      <c r="N2" s="132"/>
      <c r="O2" s="132"/>
      <c r="P2" s="51"/>
      <c r="Q2" s="51"/>
      <c r="R2" s="51"/>
      <c r="S2" s="178" t="s">
        <v>218</v>
      </c>
      <c r="T2" s="147"/>
      <c r="U2" s="147"/>
      <c r="V2" s="147"/>
      <c r="W2" s="147"/>
      <c r="X2" s="216">
        <f>+IF(E2="力量",主要情况!E5,0)+IF(E2="敏捷",主要情况!E7,0)+IF(E2="体质",主要情况!E9,0)+IF(E2="智力",主要情况!E11,0)+IF(E2="感知",主要情况!E13,0)</f>
        <v>-5</v>
      </c>
      <c r="Y2" s="217"/>
      <c r="Z2" s="218"/>
      <c r="AA2" s="51" t="s">
        <v>203</v>
      </c>
      <c r="AB2" s="51"/>
      <c r="AC2" s="65" t="s">
        <v>219</v>
      </c>
      <c r="AD2" s="65"/>
      <c r="AE2" s="65"/>
      <c r="AF2" s="65"/>
      <c r="AG2" s="65"/>
      <c r="AH2" s="131" t="s">
        <v>220</v>
      </c>
      <c r="AI2" s="131"/>
      <c r="AJ2" s="131"/>
      <c r="AK2" s="131"/>
      <c r="AL2" s="51"/>
      <c r="AM2" s="51"/>
      <c r="AN2" s="51"/>
      <c r="AO2" s="51"/>
      <c r="AP2" s="51"/>
      <c r="AQ2" s="51"/>
      <c r="AR2" s="51"/>
      <c r="AS2" s="64" t="s">
        <v>40</v>
      </c>
      <c r="AT2" s="64"/>
      <c r="AU2" s="64"/>
      <c r="AV2" s="51"/>
      <c r="AW2" s="64" t="s">
        <v>41</v>
      </c>
      <c r="AX2" s="64"/>
      <c r="AY2" s="64"/>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row>
    <row r="3" spans="1:97" ht="14.25" x14ac:dyDescent="0.2">
      <c r="A3" s="64" t="s">
        <v>127</v>
      </c>
      <c r="B3" s="64"/>
      <c r="C3" s="64"/>
      <c r="D3" s="64"/>
      <c r="E3" s="64" t="s">
        <v>221</v>
      </c>
      <c r="F3" s="64"/>
      <c r="G3" s="64" t="s">
        <v>222</v>
      </c>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51"/>
      <c r="AM3" s="51"/>
      <c r="AN3" s="178" t="s">
        <v>223</v>
      </c>
      <c r="AO3" s="147"/>
      <c r="AP3" s="147"/>
      <c r="AQ3" s="147"/>
      <c r="AR3" s="147"/>
      <c r="AS3" s="99"/>
      <c r="AT3" s="100"/>
      <c r="AU3" s="100"/>
      <c r="AV3" s="53" t="s">
        <v>45</v>
      </c>
      <c r="AW3" s="214"/>
      <c r="AX3" s="214"/>
      <c r="AY3" s="215"/>
      <c r="AZ3" s="51" t="s">
        <v>224</v>
      </c>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row>
    <row r="4" spans="1:97" ht="14.25" x14ac:dyDescent="0.1">
      <c r="A4" s="95"/>
      <c r="B4" s="96"/>
      <c r="C4" s="96"/>
      <c r="D4" s="96"/>
      <c r="E4" s="111"/>
      <c r="F4" s="113"/>
      <c r="G4" s="202"/>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4"/>
      <c r="AL4" s="51"/>
      <c r="AM4" s="51"/>
      <c r="AN4" s="178" t="s">
        <v>225</v>
      </c>
      <c r="AO4" s="147"/>
      <c r="AP4" s="147"/>
      <c r="AQ4" s="147"/>
      <c r="AR4" s="147"/>
      <c r="AS4" s="136" t="s">
        <v>226</v>
      </c>
      <c r="AT4" s="102"/>
      <c r="AU4" s="102"/>
      <c r="AV4" s="102"/>
      <c r="AW4" s="102"/>
      <c r="AX4" s="102"/>
      <c r="AY4" s="103"/>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row>
    <row r="5" spans="1:97" ht="14.25" x14ac:dyDescent="0.1">
      <c r="A5" s="95"/>
      <c r="B5" s="96"/>
      <c r="C5" s="96"/>
      <c r="D5" s="96"/>
      <c r="E5" s="111"/>
      <c r="F5" s="113"/>
      <c r="G5" s="202"/>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4"/>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row>
    <row r="6" spans="1:97" ht="14.25" x14ac:dyDescent="0.1">
      <c r="A6" s="95"/>
      <c r="B6" s="96"/>
      <c r="C6" s="96"/>
      <c r="D6" s="96"/>
      <c r="E6" s="111"/>
      <c r="F6" s="113"/>
      <c r="G6" s="202"/>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4"/>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row>
    <row r="7" spans="1:97" ht="14.25" x14ac:dyDescent="0.1">
      <c r="A7" s="95"/>
      <c r="B7" s="96"/>
      <c r="C7" s="96"/>
      <c r="D7" s="96"/>
      <c r="E7" s="111"/>
      <c r="F7" s="113"/>
      <c r="G7" s="202"/>
      <c r="H7" s="203"/>
      <c r="I7" s="203"/>
      <c r="J7" s="203"/>
      <c r="K7" s="203"/>
      <c r="L7" s="203"/>
      <c r="M7" s="203"/>
      <c r="N7" s="203"/>
      <c r="O7" s="203"/>
      <c r="P7" s="203"/>
      <c r="Q7" s="203"/>
      <c r="R7" s="203"/>
      <c r="S7" s="203"/>
      <c r="T7" s="203"/>
      <c r="U7" s="203"/>
      <c r="V7" s="203"/>
      <c r="W7" s="203"/>
      <c r="X7" s="203"/>
      <c r="Y7" s="203"/>
      <c r="Z7" s="203"/>
      <c r="AA7" s="203"/>
      <c r="AB7" s="203"/>
      <c r="AC7" s="203"/>
      <c r="AD7" s="203"/>
      <c r="AE7" s="203"/>
      <c r="AF7" s="203"/>
      <c r="AG7" s="203"/>
      <c r="AH7" s="203"/>
      <c r="AI7" s="203"/>
      <c r="AJ7" s="203"/>
      <c r="AK7" s="204"/>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row>
    <row r="8" spans="1:97" ht="14.25" x14ac:dyDescent="0.1">
      <c r="A8" s="95"/>
      <c r="B8" s="96"/>
      <c r="C8" s="96"/>
      <c r="D8" s="96"/>
      <c r="E8" s="111"/>
      <c r="F8" s="113"/>
      <c r="G8" s="202"/>
      <c r="H8" s="203"/>
      <c r="I8" s="203"/>
      <c r="J8" s="203"/>
      <c r="K8" s="203"/>
      <c r="L8" s="203"/>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4"/>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row>
    <row r="9" spans="1:97" ht="14.25" x14ac:dyDescent="0.1">
      <c r="A9" s="95"/>
      <c r="B9" s="96"/>
      <c r="C9" s="96"/>
      <c r="D9" s="96"/>
      <c r="E9" s="111"/>
      <c r="F9" s="113"/>
      <c r="G9" s="202"/>
      <c r="H9" s="203"/>
      <c r="I9" s="203"/>
      <c r="J9" s="203"/>
      <c r="K9" s="203"/>
      <c r="L9" s="203"/>
      <c r="M9" s="203"/>
      <c r="N9" s="203"/>
      <c r="O9" s="203"/>
      <c r="P9" s="203"/>
      <c r="Q9" s="203"/>
      <c r="R9" s="203"/>
      <c r="S9" s="203"/>
      <c r="T9" s="203"/>
      <c r="U9" s="203"/>
      <c r="V9" s="203"/>
      <c r="W9" s="203"/>
      <c r="X9" s="203"/>
      <c r="Y9" s="203"/>
      <c r="Z9" s="203"/>
      <c r="AA9" s="203"/>
      <c r="AB9" s="203"/>
      <c r="AC9" s="203"/>
      <c r="AD9" s="203"/>
      <c r="AE9" s="203"/>
      <c r="AF9" s="203"/>
      <c r="AG9" s="203"/>
      <c r="AH9" s="203"/>
      <c r="AI9" s="203"/>
      <c r="AJ9" s="203"/>
      <c r="AK9" s="204"/>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row>
    <row r="10" spans="1:97" ht="14.25" x14ac:dyDescent="0.1">
      <c r="A10" s="95"/>
      <c r="B10" s="96"/>
      <c r="C10" s="96"/>
      <c r="D10" s="96"/>
      <c r="E10" s="111"/>
      <c r="F10" s="113"/>
      <c r="G10" s="202"/>
      <c r="H10" s="203"/>
      <c r="I10" s="203"/>
      <c r="J10" s="203"/>
      <c r="K10" s="203"/>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4"/>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row>
    <row r="11" spans="1:97" ht="14.25" x14ac:dyDescent="0.1">
      <c r="A11" s="95"/>
      <c r="B11" s="96"/>
      <c r="C11" s="96"/>
      <c r="D11" s="96"/>
      <c r="E11" s="111"/>
      <c r="F11" s="113"/>
      <c r="G11" s="202"/>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4"/>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row>
    <row r="12" spans="1:97" ht="14.25" x14ac:dyDescent="0.1">
      <c r="A12" s="95"/>
      <c r="B12" s="96"/>
      <c r="C12" s="96"/>
      <c r="D12" s="96"/>
      <c r="E12" s="111"/>
      <c r="F12" s="113"/>
      <c r="G12" s="202"/>
      <c r="H12" s="203"/>
      <c r="I12" s="203"/>
      <c r="J12" s="203"/>
      <c r="K12" s="203"/>
      <c r="L12" s="203"/>
      <c r="M12" s="203"/>
      <c r="N12" s="203"/>
      <c r="O12" s="203"/>
      <c r="P12" s="203"/>
      <c r="Q12" s="203"/>
      <c r="R12" s="203"/>
      <c r="S12" s="203"/>
      <c r="T12" s="203"/>
      <c r="U12" s="203"/>
      <c r="V12" s="203"/>
      <c r="W12" s="203"/>
      <c r="X12" s="203"/>
      <c r="Y12" s="203"/>
      <c r="Z12" s="203"/>
      <c r="AA12" s="203"/>
      <c r="AB12" s="203"/>
      <c r="AC12" s="203"/>
      <c r="AD12" s="203"/>
      <c r="AE12" s="203"/>
      <c r="AF12" s="203"/>
      <c r="AG12" s="203"/>
      <c r="AH12" s="203"/>
      <c r="AI12" s="203"/>
      <c r="AJ12" s="203"/>
      <c r="AK12" s="204"/>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row>
    <row r="13" spans="1:97" ht="14.25" x14ac:dyDescent="0.1">
      <c r="A13" s="95"/>
      <c r="B13" s="96"/>
      <c r="C13" s="96"/>
      <c r="D13" s="96"/>
      <c r="E13" s="111"/>
      <c r="F13" s="113"/>
      <c r="G13" s="202"/>
      <c r="H13" s="203"/>
      <c r="I13" s="203"/>
      <c r="J13" s="203"/>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c r="AK13" s="204"/>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row>
    <row r="14" spans="1:97" ht="14.25" x14ac:dyDescent="0.1">
      <c r="A14" s="95"/>
      <c r="B14" s="96"/>
      <c r="C14" s="96"/>
      <c r="D14" s="96"/>
      <c r="E14" s="111"/>
      <c r="F14" s="113"/>
      <c r="G14" s="202"/>
      <c r="H14" s="203"/>
      <c r="I14" s="203"/>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4"/>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row>
    <row r="15" spans="1:97" ht="14.25" x14ac:dyDescent="0.1">
      <c r="A15" s="95"/>
      <c r="B15" s="96"/>
      <c r="C15" s="96"/>
      <c r="D15" s="96"/>
      <c r="E15" s="111"/>
      <c r="F15" s="113"/>
      <c r="G15" s="202"/>
      <c r="H15" s="203"/>
      <c r="I15" s="203"/>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4"/>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row>
    <row r="16" spans="1:97" ht="14.25" x14ac:dyDescent="0.1">
      <c r="A16" s="95"/>
      <c r="B16" s="96"/>
      <c r="C16" s="96"/>
      <c r="D16" s="96"/>
      <c r="E16" s="111"/>
      <c r="F16" s="113"/>
      <c r="G16" s="202"/>
      <c r="H16" s="203"/>
      <c r="I16" s="203"/>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4"/>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row>
    <row r="17" spans="1:97" ht="14.25" x14ac:dyDescent="0.1">
      <c r="A17" s="95"/>
      <c r="B17" s="96"/>
      <c r="C17" s="96"/>
      <c r="D17" s="96"/>
      <c r="E17" s="111"/>
      <c r="F17" s="113"/>
      <c r="G17" s="202"/>
      <c r="H17" s="203"/>
      <c r="I17" s="203"/>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4"/>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row>
    <row r="18" spans="1:97" ht="14.25" x14ac:dyDescent="0.1">
      <c r="A18" s="95"/>
      <c r="B18" s="96"/>
      <c r="C18" s="96"/>
      <c r="D18" s="96"/>
      <c r="E18" s="111"/>
      <c r="F18" s="113"/>
      <c r="G18" s="202"/>
      <c r="H18" s="203"/>
      <c r="I18" s="203"/>
      <c r="J18" s="203"/>
      <c r="K18" s="203"/>
      <c r="L18" s="203"/>
      <c r="M18" s="203"/>
      <c r="N18" s="203"/>
      <c r="O18" s="203"/>
      <c r="P18" s="203"/>
      <c r="Q18" s="203"/>
      <c r="R18" s="203"/>
      <c r="S18" s="203"/>
      <c r="T18" s="203"/>
      <c r="U18" s="203"/>
      <c r="V18" s="203"/>
      <c r="W18" s="203"/>
      <c r="X18" s="203"/>
      <c r="Y18" s="203"/>
      <c r="Z18" s="203"/>
      <c r="AA18" s="203"/>
      <c r="AB18" s="203"/>
      <c r="AC18" s="203"/>
      <c r="AD18" s="203"/>
      <c r="AE18" s="203"/>
      <c r="AF18" s="203"/>
      <c r="AG18" s="203"/>
      <c r="AH18" s="203"/>
      <c r="AI18" s="203"/>
      <c r="AJ18" s="203"/>
      <c r="AK18" s="204"/>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row>
    <row r="19" spans="1:97" ht="14.25" x14ac:dyDescent="0.1">
      <c r="A19" s="95"/>
      <c r="B19" s="96"/>
      <c r="C19" s="96"/>
      <c r="D19" s="96"/>
      <c r="E19" s="111"/>
      <c r="F19" s="113"/>
      <c r="G19" s="202"/>
      <c r="H19" s="203"/>
      <c r="I19" s="203"/>
      <c r="J19" s="203"/>
      <c r="K19" s="203"/>
      <c r="L19" s="203"/>
      <c r="M19" s="203"/>
      <c r="N19" s="203"/>
      <c r="O19" s="203"/>
      <c r="P19" s="203"/>
      <c r="Q19" s="203"/>
      <c r="R19" s="203"/>
      <c r="S19" s="203"/>
      <c r="T19" s="203"/>
      <c r="U19" s="203"/>
      <c r="V19" s="203"/>
      <c r="W19" s="203"/>
      <c r="X19" s="203"/>
      <c r="Y19" s="203"/>
      <c r="Z19" s="203"/>
      <c r="AA19" s="203"/>
      <c r="AB19" s="203"/>
      <c r="AC19" s="203"/>
      <c r="AD19" s="203"/>
      <c r="AE19" s="203"/>
      <c r="AF19" s="203"/>
      <c r="AG19" s="203"/>
      <c r="AH19" s="203"/>
      <c r="AI19" s="203"/>
      <c r="AJ19" s="203"/>
      <c r="AK19" s="204"/>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row>
    <row r="20" spans="1:97" ht="14.25" x14ac:dyDescent="0.1">
      <c r="A20" s="95"/>
      <c r="B20" s="96"/>
      <c r="C20" s="96"/>
      <c r="D20" s="96"/>
      <c r="E20" s="111"/>
      <c r="F20" s="113"/>
      <c r="G20" s="202"/>
      <c r="H20" s="203"/>
      <c r="I20" s="203"/>
      <c r="J20" s="203"/>
      <c r="K20" s="203"/>
      <c r="L20" s="203"/>
      <c r="M20" s="203"/>
      <c r="N20" s="203"/>
      <c r="O20" s="203"/>
      <c r="P20" s="203"/>
      <c r="Q20" s="203"/>
      <c r="R20" s="203"/>
      <c r="S20" s="203"/>
      <c r="T20" s="203"/>
      <c r="U20" s="203"/>
      <c r="V20" s="203"/>
      <c r="W20" s="203"/>
      <c r="X20" s="203"/>
      <c r="Y20" s="203"/>
      <c r="Z20" s="203"/>
      <c r="AA20" s="203"/>
      <c r="AB20" s="203"/>
      <c r="AC20" s="203"/>
      <c r="AD20" s="203"/>
      <c r="AE20" s="203"/>
      <c r="AF20" s="203"/>
      <c r="AG20" s="203"/>
      <c r="AH20" s="203"/>
      <c r="AI20" s="203"/>
      <c r="AJ20" s="203"/>
      <c r="AK20" s="204"/>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row>
    <row r="21" spans="1:97" ht="14.25" x14ac:dyDescent="0.1">
      <c r="A21" s="95"/>
      <c r="B21" s="96"/>
      <c r="C21" s="96"/>
      <c r="D21" s="96"/>
      <c r="E21" s="111"/>
      <c r="F21" s="113"/>
      <c r="G21" s="202"/>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c r="AK21" s="204"/>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row>
    <row r="22" spans="1:97" ht="14.25" x14ac:dyDescent="0.1">
      <c r="A22" s="95"/>
      <c r="B22" s="96"/>
      <c r="C22" s="96"/>
      <c r="D22" s="96"/>
      <c r="E22" s="111"/>
      <c r="F22" s="113"/>
      <c r="G22" s="202"/>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4"/>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row>
    <row r="23" spans="1:97" ht="14.25" x14ac:dyDescent="0.1">
      <c r="A23" s="95"/>
      <c r="B23" s="96"/>
      <c r="C23" s="96"/>
      <c r="D23" s="96"/>
      <c r="E23" s="111"/>
      <c r="F23" s="113"/>
      <c r="G23" s="202"/>
      <c r="H23" s="203"/>
      <c r="I23" s="203"/>
      <c r="J23" s="203"/>
      <c r="K23" s="203"/>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3"/>
      <c r="AJ23" s="203"/>
      <c r="AK23" s="204"/>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row>
    <row r="24" spans="1:97" ht="14.25" x14ac:dyDescent="0.1">
      <c r="A24" s="95"/>
      <c r="B24" s="96"/>
      <c r="C24" s="96"/>
      <c r="D24" s="96"/>
      <c r="E24" s="111"/>
      <c r="F24" s="113"/>
      <c r="G24" s="202"/>
      <c r="H24" s="203"/>
      <c r="I24" s="203"/>
      <c r="J24" s="203"/>
      <c r="K24" s="203"/>
      <c r="L24" s="203"/>
      <c r="M24" s="203"/>
      <c r="N24" s="203"/>
      <c r="O24" s="203"/>
      <c r="P24" s="203"/>
      <c r="Q24" s="203"/>
      <c r="R24" s="203"/>
      <c r="S24" s="203"/>
      <c r="T24" s="203"/>
      <c r="U24" s="203"/>
      <c r="V24" s="203"/>
      <c r="W24" s="203"/>
      <c r="X24" s="203"/>
      <c r="Y24" s="203"/>
      <c r="Z24" s="203"/>
      <c r="AA24" s="203"/>
      <c r="AB24" s="203"/>
      <c r="AC24" s="203"/>
      <c r="AD24" s="203"/>
      <c r="AE24" s="203"/>
      <c r="AF24" s="203"/>
      <c r="AG24" s="203"/>
      <c r="AH24" s="203"/>
      <c r="AI24" s="203"/>
      <c r="AJ24" s="203"/>
      <c r="AK24" s="204"/>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row>
    <row r="25" spans="1:97" ht="14.25" x14ac:dyDescent="0.1">
      <c r="A25" s="95"/>
      <c r="B25" s="96"/>
      <c r="C25" s="96"/>
      <c r="D25" s="96"/>
      <c r="E25" s="111"/>
      <c r="F25" s="113"/>
      <c r="G25" s="202"/>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4"/>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row>
    <row r="26" spans="1:97" ht="14.25" x14ac:dyDescent="0.1">
      <c r="A26" s="95"/>
      <c r="B26" s="96"/>
      <c r="C26" s="96"/>
      <c r="D26" s="96"/>
      <c r="E26" s="111"/>
      <c r="F26" s="113"/>
      <c r="G26" s="202"/>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4"/>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row>
    <row r="27" spans="1:97" ht="14.25" x14ac:dyDescent="0.1">
      <c r="A27" s="95"/>
      <c r="B27" s="96"/>
      <c r="C27" s="96"/>
      <c r="D27" s="96"/>
      <c r="E27" s="111"/>
      <c r="F27" s="113"/>
      <c r="G27" s="202"/>
      <c r="H27" s="203"/>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4"/>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row>
    <row r="28" spans="1:97" ht="14.25" x14ac:dyDescent="0.1">
      <c r="A28" s="95"/>
      <c r="B28" s="96"/>
      <c r="C28" s="96"/>
      <c r="D28" s="96"/>
      <c r="E28" s="111"/>
      <c r="F28" s="113"/>
      <c r="G28" s="202"/>
      <c r="H28" s="203"/>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4"/>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row>
    <row r="29" spans="1:97" ht="14.25" x14ac:dyDescent="0.1">
      <c r="A29" s="95"/>
      <c r="B29" s="96"/>
      <c r="C29" s="96"/>
      <c r="D29" s="96"/>
      <c r="E29" s="111"/>
      <c r="F29" s="113"/>
      <c r="G29" s="202"/>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4"/>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row>
    <row r="30" spans="1:97" ht="14.25" x14ac:dyDescent="0.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row>
    <row r="31" spans="1:97" ht="14.25" x14ac:dyDescent="0.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row>
    <row r="32" spans="1:97" ht="14.25" x14ac:dyDescent="0.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row>
    <row r="33" spans="1:97" ht="14.25" x14ac:dyDescent="0.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row>
    <row r="34" spans="1:97" ht="14.25" x14ac:dyDescent="0.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row>
    <row r="35" spans="1:97" ht="14.25" x14ac:dyDescent="0.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row>
    <row r="36" spans="1:97" ht="14.25" x14ac:dyDescent="0.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row>
    <row r="37" spans="1:97" ht="14.25" x14ac:dyDescent="0.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row>
    <row r="38" spans="1:97" ht="14.25" x14ac:dyDescent="0.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row>
    <row r="39" spans="1:97" ht="14.25" x14ac:dyDescent="0.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row>
    <row r="40" spans="1:97" ht="14.25" x14ac:dyDescent="0.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row>
    <row r="41" spans="1:97" ht="14.25" x14ac:dyDescent="0.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row>
    <row r="42" spans="1:97" ht="14.25" x14ac:dyDescent="0.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row>
    <row r="43" spans="1:97" ht="14.25" x14ac:dyDescent="0.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row>
    <row r="44" spans="1:97" ht="14.25" x14ac:dyDescent="0.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row>
    <row r="45" spans="1:97" ht="14.25" x14ac:dyDescent="0.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row>
    <row r="46" spans="1:97" ht="14.25" x14ac:dyDescent="0.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row>
    <row r="47" spans="1:97"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row>
    <row r="48" spans="1:97"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row>
    <row r="49" spans="1:97"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row>
    <row r="50" spans="1:97"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row>
    <row r="51" spans="1:97"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row>
    <row r="52" spans="1:97"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row>
    <row r="53" spans="1:97"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row>
    <row r="54" spans="1:97"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row>
    <row r="55" spans="1:97"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row>
    <row r="56" spans="1:97"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row>
    <row r="57" spans="1:97"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row>
    <row r="58" spans="1:97"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row>
    <row r="59" spans="1:97"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row>
    <row r="60" spans="1:97" ht="14.25" x14ac:dyDescent="0.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row>
    <row r="61" spans="1:97" ht="14.25" x14ac:dyDescent="0.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row>
    <row r="62" spans="1:97" ht="14.25" x14ac:dyDescent="0.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row>
    <row r="63" spans="1:97" ht="14.25" x14ac:dyDescent="0.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row>
    <row r="64" spans="1:97" ht="14.25" x14ac:dyDescent="0.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row>
    <row r="65" spans="1:97" ht="14.25" x14ac:dyDescent="0.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row>
    <row r="66" spans="1:97" ht="14.25" x14ac:dyDescent="0.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row>
    <row r="67" spans="1:97" ht="14.25" x14ac:dyDescent="0.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row>
    <row r="68" spans="1:97" ht="14.25" x14ac:dyDescent="0.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row>
    <row r="69" spans="1:97" ht="14.25" x14ac:dyDescent="0.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row>
    <row r="70" spans="1:97" ht="14.25" x14ac:dyDescent="0.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row>
    <row r="71" spans="1:97" ht="14.25" x14ac:dyDescent="0.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row>
    <row r="72" spans="1:97" ht="14.25" x14ac:dyDescent="0.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row>
    <row r="73" spans="1:97" ht="14.25" x14ac:dyDescent="0.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row>
    <row r="74" spans="1:97" ht="14.25" x14ac:dyDescent="0.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row>
    <row r="75" spans="1:97" ht="14.25" x14ac:dyDescent="0.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row>
    <row r="76" spans="1:97" ht="14.25" x14ac:dyDescent="0.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row>
    <row r="77" spans="1:97" ht="14.25" x14ac:dyDescent="0.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row>
    <row r="78" spans="1:97" ht="14.25" x14ac:dyDescent="0.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row>
    <row r="79" spans="1:97" ht="14.25" x14ac:dyDescent="0.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row>
    <row r="80" spans="1:97" ht="14.25" x14ac:dyDescent="0.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row>
    <row r="81" spans="1:97" ht="14.25" x14ac:dyDescent="0.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row>
    <row r="82" spans="1:97" ht="14.25" x14ac:dyDescent="0.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row>
    <row r="83" spans="1:97" ht="14.25" x14ac:dyDescent="0.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row>
    <row r="84" spans="1:97" ht="14.25" x14ac:dyDescent="0.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row>
    <row r="85" spans="1:97" ht="14.25" x14ac:dyDescent="0.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row>
    <row r="86" spans="1:97" ht="14.25" x14ac:dyDescent="0.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row>
    <row r="87" spans="1:97" ht="14.25" x14ac:dyDescent="0.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row>
    <row r="88" spans="1:97" ht="14.25" x14ac:dyDescent="0.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row>
    <row r="89" spans="1:97" ht="14.25" x14ac:dyDescent="0.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row>
    <row r="90" spans="1:97" ht="14.25" x14ac:dyDescent="0.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row>
    <row r="91" spans="1:97" ht="14.25" x14ac:dyDescent="0.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row>
    <row r="92" spans="1:97" ht="14.25" x14ac:dyDescent="0.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row>
    <row r="93" spans="1:97" ht="14.25" x14ac:dyDescent="0.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row>
    <row r="94" spans="1:97" ht="14.25" x14ac:dyDescent="0.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row>
    <row r="95" spans="1:97" ht="14.25" x14ac:dyDescent="0.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row>
    <row r="96" spans="1:97" ht="14.25" x14ac:dyDescent="0.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row>
    <row r="97" spans="1:97" ht="14.25" x14ac:dyDescent="0.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row>
    <row r="98" spans="1:97" ht="14.25" x14ac:dyDescent="0.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row>
    <row r="99" spans="1:97" ht="14.25" x14ac:dyDescent="0.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row>
    <row r="100" spans="1:97" ht="14.25" x14ac:dyDescent="0.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row>
    <row r="101" spans="1:97" ht="14.25" x14ac:dyDescent="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row>
    <row r="102" spans="1:97" ht="14.25" x14ac:dyDescent="0.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row>
    <row r="103" spans="1:97" ht="14.25" x14ac:dyDescent="0.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row>
    <row r="104" spans="1:97" ht="14.25" x14ac:dyDescent="0.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row>
    <row r="105" spans="1:97" ht="14.25" x14ac:dyDescent="0.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row>
    <row r="106" spans="1:97" ht="14.25" x14ac:dyDescent="0.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row>
    <row r="107" spans="1:97" ht="14.25" x14ac:dyDescent="0.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row>
    <row r="108" spans="1:97" ht="14.25" x14ac:dyDescent="0.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row>
    <row r="109" spans="1:97" ht="14.25" x14ac:dyDescent="0.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row>
    <row r="110" spans="1:97" ht="14.25" x14ac:dyDescent="0.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row>
    <row r="111" spans="1:97" ht="14.25" x14ac:dyDescent="0.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row>
  </sheetData>
  <mergeCells count="97">
    <mergeCell ref="A29:D29"/>
    <mergeCell ref="E29:F29"/>
    <mergeCell ref="G29:AK29"/>
    <mergeCell ref="A27:D27"/>
    <mergeCell ref="E27:F27"/>
    <mergeCell ref="G27:AK27"/>
    <mergeCell ref="A28:D28"/>
    <mergeCell ref="E28:F28"/>
    <mergeCell ref="G28:AK28"/>
    <mergeCell ref="A25:D25"/>
    <mergeCell ref="E25:F25"/>
    <mergeCell ref="G25:AK25"/>
    <mergeCell ref="A26:D26"/>
    <mergeCell ref="E26:F26"/>
    <mergeCell ref="G26:AK26"/>
    <mergeCell ref="A23:D23"/>
    <mergeCell ref="E23:F23"/>
    <mergeCell ref="G23:AK23"/>
    <mergeCell ref="A24:D24"/>
    <mergeCell ref="E24:F24"/>
    <mergeCell ref="G24:AK24"/>
    <mergeCell ref="A21:D21"/>
    <mergeCell ref="E21:F21"/>
    <mergeCell ref="G21:AK21"/>
    <mergeCell ref="A22:D22"/>
    <mergeCell ref="E22:F22"/>
    <mergeCell ref="G22:AK22"/>
    <mergeCell ref="A19:D19"/>
    <mergeCell ref="E19:F19"/>
    <mergeCell ref="G19:AK19"/>
    <mergeCell ref="A20:D20"/>
    <mergeCell ref="E20:F20"/>
    <mergeCell ref="G20:AK20"/>
    <mergeCell ref="A17:D17"/>
    <mergeCell ref="E17:F17"/>
    <mergeCell ref="G17:AK17"/>
    <mergeCell ref="A18:D18"/>
    <mergeCell ref="E18:F18"/>
    <mergeCell ref="G18:AK18"/>
    <mergeCell ref="A15:D15"/>
    <mergeCell ref="E15:F15"/>
    <mergeCell ref="G15:AK15"/>
    <mergeCell ref="A16:D16"/>
    <mergeCell ref="E16:F16"/>
    <mergeCell ref="G16:AK16"/>
    <mergeCell ref="A13:D13"/>
    <mergeCell ref="E13:F13"/>
    <mergeCell ref="G13:AK13"/>
    <mergeCell ref="A14:D14"/>
    <mergeCell ref="E14:F14"/>
    <mergeCell ref="G14:AK14"/>
    <mergeCell ref="A11:D11"/>
    <mergeCell ref="E11:F11"/>
    <mergeCell ref="G11:AK11"/>
    <mergeCell ref="A12:D12"/>
    <mergeCell ref="E12:F12"/>
    <mergeCell ref="G12:AK12"/>
    <mergeCell ref="A9:D9"/>
    <mergeCell ref="E9:F9"/>
    <mergeCell ref="G9:AK9"/>
    <mergeCell ref="A10:D10"/>
    <mergeCell ref="E10:F10"/>
    <mergeCell ref="G10:AK10"/>
    <mergeCell ref="A7:D7"/>
    <mergeCell ref="E7:F7"/>
    <mergeCell ref="G7:AK7"/>
    <mergeCell ref="A8:D8"/>
    <mergeCell ref="E8:F8"/>
    <mergeCell ref="G8:AK8"/>
    <mergeCell ref="A5:D5"/>
    <mergeCell ref="E5:F5"/>
    <mergeCell ref="G5:AK5"/>
    <mergeCell ref="A6:D6"/>
    <mergeCell ref="E6:F6"/>
    <mergeCell ref="G6:AK6"/>
    <mergeCell ref="AW3:AY3"/>
    <mergeCell ref="A4:D4"/>
    <mergeCell ref="E4:F4"/>
    <mergeCell ref="G4:AK4"/>
    <mergeCell ref="AN4:AR4"/>
    <mergeCell ref="AS4:AY4"/>
    <mergeCell ref="A3:D3"/>
    <mergeCell ref="E3:F3"/>
    <mergeCell ref="G3:AK3"/>
    <mergeCell ref="AN3:AR3"/>
    <mergeCell ref="AS3:AU3"/>
    <mergeCell ref="A1:AZ1"/>
    <mergeCell ref="A2:D2"/>
    <mergeCell ref="E2:G2"/>
    <mergeCell ref="I2:L2"/>
    <mergeCell ref="M2:O2"/>
    <mergeCell ref="S2:W2"/>
    <mergeCell ref="X2:Z2"/>
    <mergeCell ref="AC2:AG2"/>
    <mergeCell ref="AH2:AK2"/>
    <mergeCell ref="AS2:AU2"/>
    <mergeCell ref="AW2:AY2"/>
  </mergeCells>
  <dataValidations count="5">
    <dataValidation type="list" allowBlank="1" showInputMessage="1" showErrorMessage="1" sqref="AH2:AJ2" xr:uid="{00000000-0002-0000-0500-000000000000}">
      <formula1>"摘星流,混元流,游龙流,开山流,神机流"</formula1>
    </dataValidation>
    <dataValidation type="list" allowBlank="1" showInputMessage="1" showErrorMessage="1" sqref="AS4:AY4" xr:uid="{00000000-0002-0000-0500-000001000000}">
      <formula1>"d4,d6,d8,d10,d12,d14"</formula1>
    </dataValidation>
    <dataValidation type="list" allowBlank="1" showInputMessage="1" showErrorMessage="1" sqref="S4:S29" xr:uid="{00000000-0002-0000-0500-000002000000}">
      <formula1>"守序善良,中立善良,混乱善良,守序中立,绝对中立,混乱中立,守序邪恶,中立邪恶,混乱邪恶"</formula1>
    </dataValidation>
    <dataValidation allowBlank="1" showInputMessage="1" showErrorMessage="1" sqref="A4:D29" xr:uid="{00000000-0002-0000-0500-000003000000}"/>
    <dataValidation type="list" allowBlank="1" showInputMessage="1" showErrorMessage="1" sqref="E4:F29" xr:uid="{00000000-0002-0000-0500-000004000000}">
      <formula1>"低级,中级,高级"</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S111"/>
  <sheetViews>
    <sheetView workbookViewId="0">
      <selection activeCell="A4" sqref="A4:W27"/>
    </sheetView>
  </sheetViews>
  <sheetFormatPr defaultColWidth="2.7265625" defaultRowHeight="13.5" x14ac:dyDescent="0.1"/>
  <cols>
    <col min="1" max="1" width="2.7265625" customWidth="1"/>
  </cols>
  <sheetData>
    <row r="1" spans="1:97" ht="17.25" x14ac:dyDescent="0.1">
      <c r="A1" s="63" t="s">
        <v>227</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c r="CH1" s="51"/>
      <c r="CI1" s="51"/>
      <c r="CJ1" s="51"/>
      <c r="CK1" s="51"/>
      <c r="CL1" s="51"/>
      <c r="CM1" s="51"/>
      <c r="CN1" s="51"/>
      <c r="CO1" s="51"/>
      <c r="CP1" s="51"/>
      <c r="CQ1" s="51"/>
      <c r="CR1" s="51"/>
      <c r="CS1" s="51"/>
    </row>
    <row r="2" spans="1:97" ht="14.25" x14ac:dyDescent="0.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row>
    <row r="3" spans="1:97" ht="17.25" x14ac:dyDescent="0.1">
      <c r="A3" s="219" t="s">
        <v>228</v>
      </c>
      <c r="B3" s="220"/>
      <c r="C3" s="220"/>
      <c r="D3" s="220"/>
      <c r="E3" s="220"/>
      <c r="F3" s="220"/>
      <c r="G3" s="220"/>
      <c r="H3" s="220"/>
      <c r="I3" s="220"/>
      <c r="J3" s="220"/>
      <c r="K3" s="220"/>
      <c r="L3" s="220"/>
      <c r="M3" s="220"/>
      <c r="N3" s="220"/>
      <c r="O3" s="220"/>
      <c r="P3" s="220"/>
      <c r="Q3" s="220"/>
      <c r="R3" s="220"/>
      <c r="S3" s="220"/>
      <c r="T3" s="220"/>
      <c r="U3" s="220"/>
      <c r="V3" s="220"/>
      <c r="W3" s="221"/>
      <c r="X3" s="51"/>
      <c r="Y3" s="51"/>
      <c r="Z3" s="51"/>
      <c r="AA3" s="51"/>
      <c r="AB3" s="51"/>
      <c r="AC3" s="51"/>
      <c r="AD3" s="51"/>
      <c r="AE3" s="219" t="s">
        <v>229</v>
      </c>
      <c r="AF3" s="220"/>
      <c r="AG3" s="220"/>
      <c r="AH3" s="220"/>
      <c r="AI3" s="220"/>
      <c r="AJ3" s="220"/>
      <c r="AK3" s="220"/>
      <c r="AL3" s="220"/>
      <c r="AM3" s="220"/>
      <c r="AN3" s="220"/>
      <c r="AO3" s="220"/>
      <c r="AP3" s="220"/>
      <c r="AQ3" s="220"/>
      <c r="AR3" s="220"/>
      <c r="AS3" s="220"/>
      <c r="AT3" s="220"/>
      <c r="AU3" s="220"/>
      <c r="AV3" s="220"/>
      <c r="AW3" s="220"/>
      <c r="AX3" s="220"/>
      <c r="AY3" s="220"/>
      <c r="AZ3" s="220"/>
      <c r="BA3" s="22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row>
    <row r="4" spans="1:97" ht="14.25" x14ac:dyDescent="0.1">
      <c r="A4" s="159" t="s">
        <v>230</v>
      </c>
      <c r="B4" s="160"/>
      <c r="C4" s="160"/>
      <c r="D4" s="160"/>
      <c r="E4" s="160"/>
      <c r="F4" s="160"/>
      <c r="G4" s="160"/>
      <c r="H4" s="160"/>
      <c r="I4" s="160"/>
      <c r="J4" s="160"/>
      <c r="K4" s="160"/>
      <c r="L4" s="160"/>
      <c r="M4" s="160"/>
      <c r="N4" s="160"/>
      <c r="O4" s="160"/>
      <c r="P4" s="160"/>
      <c r="Q4" s="160"/>
      <c r="R4" s="160"/>
      <c r="S4" s="160"/>
      <c r="T4" s="160"/>
      <c r="U4" s="160"/>
      <c r="V4" s="160"/>
      <c r="W4" s="161"/>
      <c r="X4" s="51"/>
      <c r="Y4" s="51"/>
      <c r="Z4" s="51"/>
      <c r="AA4" s="51"/>
      <c r="AB4" s="51"/>
      <c r="AC4" s="51"/>
      <c r="AD4" s="51"/>
      <c r="AE4" s="159" t="s">
        <v>231</v>
      </c>
      <c r="AF4" s="160"/>
      <c r="AG4" s="160"/>
      <c r="AH4" s="160"/>
      <c r="AI4" s="160"/>
      <c r="AJ4" s="160"/>
      <c r="AK4" s="160"/>
      <c r="AL4" s="160"/>
      <c r="AM4" s="160"/>
      <c r="AN4" s="160"/>
      <c r="AO4" s="160"/>
      <c r="AP4" s="160"/>
      <c r="AQ4" s="160"/>
      <c r="AR4" s="160"/>
      <c r="AS4" s="160"/>
      <c r="AT4" s="160"/>
      <c r="AU4" s="160"/>
      <c r="AV4" s="160"/>
      <c r="AW4" s="160"/>
      <c r="AX4" s="160"/>
      <c r="AY4" s="160"/>
      <c r="AZ4" s="160"/>
      <c r="BA4" s="16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row>
    <row r="5" spans="1:97" ht="14.25" x14ac:dyDescent="0.1">
      <c r="A5" s="179"/>
      <c r="B5" s="180"/>
      <c r="C5" s="180"/>
      <c r="D5" s="180"/>
      <c r="E5" s="180"/>
      <c r="F5" s="180"/>
      <c r="G5" s="180"/>
      <c r="H5" s="180"/>
      <c r="I5" s="180"/>
      <c r="J5" s="180"/>
      <c r="K5" s="180"/>
      <c r="L5" s="180"/>
      <c r="M5" s="180"/>
      <c r="N5" s="180"/>
      <c r="O5" s="180"/>
      <c r="P5" s="180"/>
      <c r="Q5" s="180"/>
      <c r="R5" s="180"/>
      <c r="S5" s="180"/>
      <c r="T5" s="180"/>
      <c r="U5" s="180"/>
      <c r="V5" s="180"/>
      <c r="W5" s="181"/>
      <c r="X5" s="51"/>
      <c r="Y5" s="51"/>
      <c r="Z5" s="51"/>
      <c r="AA5" s="51"/>
      <c r="AB5" s="51"/>
      <c r="AC5" s="51"/>
      <c r="AD5" s="51"/>
      <c r="AE5" s="179"/>
      <c r="AF5" s="180"/>
      <c r="AG5" s="180"/>
      <c r="AH5" s="180"/>
      <c r="AI5" s="180"/>
      <c r="AJ5" s="180"/>
      <c r="AK5" s="180"/>
      <c r="AL5" s="180"/>
      <c r="AM5" s="180"/>
      <c r="AN5" s="180"/>
      <c r="AO5" s="180"/>
      <c r="AP5" s="180"/>
      <c r="AQ5" s="180"/>
      <c r="AR5" s="180"/>
      <c r="AS5" s="180"/>
      <c r="AT5" s="180"/>
      <c r="AU5" s="180"/>
      <c r="AV5" s="180"/>
      <c r="AW5" s="180"/>
      <c r="AX5" s="180"/>
      <c r="AY5" s="180"/>
      <c r="AZ5" s="180"/>
      <c r="BA5" s="18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row>
    <row r="6" spans="1:97" ht="14.25" x14ac:dyDescent="0.1">
      <c r="A6" s="179"/>
      <c r="B6" s="180"/>
      <c r="C6" s="180"/>
      <c r="D6" s="180"/>
      <c r="E6" s="180"/>
      <c r="F6" s="180"/>
      <c r="G6" s="180"/>
      <c r="H6" s="180"/>
      <c r="I6" s="180"/>
      <c r="J6" s="180"/>
      <c r="K6" s="180"/>
      <c r="L6" s="180"/>
      <c r="M6" s="180"/>
      <c r="N6" s="180"/>
      <c r="O6" s="180"/>
      <c r="P6" s="180"/>
      <c r="Q6" s="180"/>
      <c r="R6" s="180"/>
      <c r="S6" s="180"/>
      <c r="T6" s="180"/>
      <c r="U6" s="180"/>
      <c r="V6" s="180"/>
      <c r="W6" s="181"/>
      <c r="X6" s="51"/>
      <c r="Y6" s="65" t="s">
        <v>232</v>
      </c>
      <c r="Z6" s="65"/>
      <c r="AA6" s="65"/>
      <c r="AB6" s="65"/>
      <c r="AC6" s="65"/>
      <c r="AD6" s="51"/>
      <c r="AE6" s="179"/>
      <c r="AF6" s="180"/>
      <c r="AG6" s="180"/>
      <c r="AH6" s="180"/>
      <c r="AI6" s="180"/>
      <c r="AJ6" s="180"/>
      <c r="AK6" s="180"/>
      <c r="AL6" s="180"/>
      <c r="AM6" s="180"/>
      <c r="AN6" s="180"/>
      <c r="AO6" s="180"/>
      <c r="AP6" s="180"/>
      <c r="AQ6" s="180"/>
      <c r="AR6" s="180"/>
      <c r="AS6" s="180"/>
      <c r="AT6" s="180"/>
      <c r="AU6" s="180"/>
      <c r="AV6" s="180"/>
      <c r="AW6" s="180"/>
      <c r="AX6" s="180"/>
      <c r="AY6" s="180"/>
      <c r="AZ6" s="180"/>
      <c r="BA6" s="18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row>
    <row r="7" spans="1:97" ht="14.25" x14ac:dyDescent="0.1">
      <c r="A7" s="179"/>
      <c r="B7" s="180"/>
      <c r="C7" s="180"/>
      <c r="D7" s="180"/>
      <c r="E7" s="180"/>
      <c r="F7" s="180"/>
      <c r="G7" s="180"/>
      <c r="H7" s="180"/>
      <c r="I7" s="180"/>
      <c r="J7" s="180"/>
      <c r="K7" s="180"/>
      <c r="L7" s="180"/>
      <c r="M7" s="180"/>
      <c r="N7" s="180"/>
      <c r="O7" s="180"/>
      <c r="P7" s="180"/>
      <c r="Q7" s="180"/>
      <c r="R7" s="180"/>
      <c r="S7" s="180"/>
      <c r="T7" s="180"/>
      <c r="U7" s="180"/>
      <c r="V7" s="180"/>
      <c r="W7" s="181"/>
      <c r="X7" s="51"/>
      <c r="Y7" s="131" t="s">
        <v>233</v>
      </c>
      <c r="Z7" s="131"/>
      <c r="AA7" s="131"/>
      <c r="AB7" s="131"/>
      <c r="AC7" s="131"/>
      <c r="AD7" s="51"/>
      <c r="AE7" s="179"/>
      <c r="AF7" s="180"/>
      <c r="AG7" s="180"/>
      <c r="AH7" s="180"/>
      <c r="AI7" s="180"/>
      <c r="AJ7" s="180"/>
      <c r="AK7" s="180"/>
      <c r="AL7" s="180"/>
      <c r="AM7" s="180"/>
      <c r="AN7" s="180"/>
      <c r="AO7" s="180"/>
      <c r="AP7" s="180"/>
      <c r="AQ7" s="180"/>
      <c r="AR7" s="180"/>
      <c r="AS7" s="180"/>
      <c r="AT7" s="180"/>
      <c r="AU7" s="180"/>
      <c r="AV7" s="180"/>
      <c r="AW7" s="180"/>
      <c r="AX7" s="180"/>
      <c r="AY7" s="180"/>
      <c r="AZ7" s="180"/>
      <c r="BA7" s="18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row>
    <row r="8" spans="1:97" ht="14.25" x14ac:dyDescent="0.1">
      <c r="A8" s="179"/>
      <c r="B8" s="180"/>
      <c r="C8" s="180"/>
      <c r="D8" s="180"/>
      <c r="E8" s="180"/>
      <c r="F8" s="180"/>
      <c r="G8" s="180"/>
      <c r="H8" s="180"/>
      <c r="I8" s="180"/>
      <c r="J8" s="180"/>
      <c r="K8" s="180"/>
      <c r="L8" s="180"/>
      <c r="M8" s="180"/>
      <c r="N8" s="180"/>
      <c r="O8" s="180"/>
      <c r="P8" s="180"/>
      <c r="Q8" s="180"/>
      <c r="R8" s="180"/>
      <c r="S8" s="180"/>
      <c r="T8" s="180"/>
      <c r="U8" s="180"/>
      <c r="V8" s="180"/>
      <c r="W8" s="181"/>
      <c r="X8" s="51"/>
      <c r="Y8" s="65" t="s">
        <v>234</v>
      </c>
      <c r="Z8" s="65"/>
      <c r="AA8" s="65"/>
      <c r="AB8" s="65"/>
      <c r="AC8" s="65"/>
      <c r="AD8" s="51"/>
      <c r="AE8" s="179"/>
      <c r="AF8" s="180"/>
      <c r="AG8" s="180"/>
      <c r="AH8" s="180"/>
      <c r="AI8" s="180"/>
      <c r="AJ8" s="180"/>
      <c r="AK8" s="180"/>
      <c r="AL8" s="180"/>
      <c r="AM8" s="180"/>
      <c r="AN8" s="180"/>
      <c r="AO8" s="180"/>
      <c r="AP8" s="180"/>
      <c r="AQ8" s="180"/>
      <c r="AR8" s="180"/>
      <c r="AS8" s="180"/>
      <c r="AT8" s="180"/>
      <c r="AU8" s="180"/>
      <c r="AV8" s="180"/>
      <c r="AW8" s="180"/>
      <c r="AX8" s="180"/>
      <c r="AY8" s="180"/>
      <c r="AZ8" s="180"/>
      <c r="BA8" s="18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row>
    <row r="9" spans="1:97" ht="14.25" x14ac:dyDescent="0.1">
      <c r="A9" s="179"/>
      <c r="B9" s="180"/>
      <c r="C9" s="180"/>
      <c r="D9" s="180"/>
      <c r="E9" s="180"/>
      <c r="F9" s="180"/>
      <c r="G9" s="180"/>
      <c r="H9" s="180"/>
      <c r="I9" s="180"/>
      <c r="J9" s="180"/>
      <c r="K9" s="180"/>
      <c r="L9" s="180"/>
      <c r="M9" s="180"/>
      <c r="N9" s="180"/>
      <c r="O9" s="180"/>
      <c r="P9" s="180"/>
      <c r="Q9" s="180"/>
      <c r="R9" s="180"/>
      <c r="S9" s="180"/>
      <c r="T9" s="180"/>
      <c r="U9" s="180"/>
      <c r="V9" s="180"/>
      <c r="W9" s="181"/>
      <c r="X9" s="51"/>
      <c r="Y9" s="94" t="s">
        <v>235</v>
      </c>
      <c r="Z9" s="94"/>
      <c r="AA9" s="94"/>
      <c r="AB9" s="94"/>
      <c r="AC9" s="94"/>
      <c r="AD9" s="51"/>
      <c r="AE9" s="179"/>
      <c r="AF9" s="180"/>
      <c r="AG9" s="180"/>
      <c r="AH9" s="180"/>
      <c r="AI9" s="180"/>
      <c r="AJ9" s="180"/>
      <c r="AK9" s="180"/>
      <c r="AL9" s="180"/>
      <c r="AM9" s="180"/>
      <c r="AN9" s="180"/>
      <c r="AO9" s="180"/>
      <c r="AP9" s="180"/>
      <c r="AQ9" s="180"/>
      <c r="AR9" s="180"/>
      <c r="AS9" s="180"/>
      <c r="AT9" s="180"/>
      <c r="AU9" s="180"/>
      <c r="AV9" s="180"/>
      <c r="AW9" s="180"/>
      <c r="AX9" s="180"/>
      <c r="AY9" s="180"/>
      <c r="AZ9" s="180"/>
      <c r="BA9" s="18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row>
    <row r="10" spans="1:97" ht="14.25" x14ac:dyDescent="0.1">
      <c r="A10" s="179"/>
      <c r="B10" s="180"/>
      <c r="C10" s="180"/>
      <c r="D10" s="180"/>
      <c r="E10" s="180"/>
      <c r="F10" s="180"/>
      <c r="G10" s="180"/>
      <c r="H10" s="180"/>
      <c r="I10" s="180"/>
      <c r="J10" s="180"/>
      <c r="K10" s="180"/>
      <c r="L10" s="180"/>
      <c r="M10" s="180"/>
      <c r="N10" s="180"/>
      <c r="O10" s="180"/>
      <c r="P10" s="180"/>
      <c r="Q10" s="180"/>
      <c r="R10" s="180"/>
      <c r="S10" s="180"/>
      <c r="T10" s="180"/>
      <c r="U10" s="180"/>
      <c r="V10" s="180"/>
      <c r="W10" s="181"/>
      <c r="X10" s="51"/>
      <c r="Y10" s="94"/>
      <c r="Z10" s="94"/>
      <c r="AA10" s="94"/>
      <c r="AB10" s="94"/>
      <c r="AC10" s="94"/>
      <c r="AD10" s="51"/>
      <c r="AE10" s="179"/>
      <c r="AF10" s="180"/>
      <c r="AG10" s="180"/>
      <c r="AH10" s="180"/>
      <c r="AI10" s="180"/>
      <c r="AJ10" s="180"/>
      <c r="AK10" s="180"/>
      <c r="AL10" s="180"/>
      <c r="AM10" s="180"/>
      <c r="AN10" s="180"/>
      <c r="AO10" s="180"/>
      <c r="AP10" s="180"/>
      <c r="AQ10" s="180"/>
      <c r="AR10" s="180"/>
      <c r="AS10" s="180"/>
      <c r="AT10" s="180"/>
      <c r="AU10" s="180"/>
      <c r="AV10" s="180"/>
      <c r="AW10" s="180"/>
      <c r="AX10" s="180"/>
      <c r="AY10" s="180"/>
      <c r="AZ10" s="180"/>
      <c r="BA10" s="18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row>
    <row r="11" spans="1:97" ht="14.25" x14ac:dyDescent="0.1">
      <c r="A11" s="179"/>
      <c r="B11" s="180"/>
      <c r="C11" s="180"/>
      <c r="D11" s="180"/>
      <c r="E11" s="180"/>
      <c r="F11" s="180"/>
      <c r="G11" s="180"/>
      <c r="H11" s="180"/>
      <c r="I11" s="180"/>
      <c r="J11" s="180"/>
      <c r="K11" s="180"/>
      <c r="L11" s="180"/>
      <c r="M11" s="180"/>
      <c r="N11" s="180"/>
      <c r="O11" s="180"/>
      <c r="P11" s="180"/>
      <c r="Q11" s="180"/>
      <c r="R11" s="180"/>
      <c r="S11" s="180"/>
      <c r="T11" s="180"/>
      <c r="U11" s="180"/>
      <c r="V11" s="180"/>
      <c r="W11" s="181"/>
      <c r="X11" s="51"/>
      <c r="Y11" s="94"/>
      <c r="Z11" s="94"/>
      <c r="AA11" s="94"/>
      <c r="AB11" s="94"/>
      <c r="AC11" s="94"/>
      <c r="AD11" s="51"/>
      <c r="AE11" s="179"/>
      <c r="AF11" s="180"/>
      <c r="AG11" s="180"/>
      <c r="AH11" s="180"/>
      <c r="AI11" s="180"/>
      <c r="AJ11" s="180"/>
      <c r="AK11" s="180"/>
      <c r="AL11" s="180"/>
      <c r="AM11" s="180"/>
      <c r="AN11" s="180"/>
      <c r="AO11" s="180"/>
      <c r="AP11" s="180"/>
      <c r="AQ11" s="180"/>
      <c r="AR11" s="180"/>
      <c r="AS11" s="180"/>
      <c r="AT11" s="180"/>
      <c r="AU11" s="180"/>
      <c r="AV11" s="180"/>
      <c r="AW11" s="180"/>
      <c r="AX11" s="180"/>
      <c r="AY11" s="180"/>
      <c r="AZ11" s="180"/>
      <c r="BA11" s="18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row>
    <row r="12" spans="1:97" ht="14.25" x14ac:dyDescent="0.1">
      <c r="A12" s="179"/>
      <c r="B12" s="180"/>
      <c r="C12" s="180"/>
      <c r="D12" s="180"/>
      <c r="E12" s="180"/>
      <c r="F12" s="180"/>
      <c r="G12" s="180"/>
      <c r="H12" s="180"/>
      <c r="I12" s="180"/>
      <c r="J12" s="180"/>
      <c r="K12" s="180"/>
      <c r="L12" s="180"/>
      <c r="M12" s="180"/>
      <c r="N12" s="180"/>
      <c r="O12" s="180"/>
      <c r="P12" s="180"/>
      <c r="Q12" s="180"/>
      <c r="R12" s="180"/>
      <c r="S12" s="180"/>
      <c r="T12" s="180"/>
      <c r="U12" s="180"/>
      <c r="V12" s="180"/>
      <c r="W12" s="181"/>
      <c r="X12" s="51"/>
      <c r="Y12" s="94"/>
      <c r="Z12" s="94"/>
      <c r="AA12" s="94"/>
      <c r="AB12" s="94"/>
      <c r="AC12" s="94"/>
      <c r="AD12" s="51"/>
      <c r="AE12" s="179"/>
      <c r="AF12" s="180"/>
      <c r="AG12" s="180"/>
      <c r="AH12" s="180"/>
      <c r="AI12" s="180"/>
      <c r="AJ12" s="180"/>
      <c r="AK12" s="180"/>
      <c r="AL12" s="180"/>
      <c r="AM12" s="180"/>
      <c r="AN12" s="180"/>
      <c r="AO12" s="180"/>
      <c r="AP12" s="180"/>
      <c r="AQ12" s="180"/>
      <c r="AR12" s="180"/>
      <c r="AS12" s="180"/>
      <c r="AT12" s="180"/>
      <c r="AU12" s="180"/>
      <c r="AV12" s="180"/>
      <c r="AW12" s="180"/>
      <c r="AX12" s="180"/>
      <c r="AY12" s="180"/>
      <c r="AZ12" s="180"/>
      <c r="BA12" s="18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row>
    <row r="13" spans="1:97" ht="14.25" x14ac:dyDescent="0.1">
      <c r="A13" s="179"/>
      <c r="B13" s="180"/>
      <c r="C13" s="180"/>
      <c r="D13" s="180"/>
      <c r="E13" s="180"/>
      <c r="F13" s="180"/>
      <c r="G13" s="180"/>
      <c r="H13" s="180"/>
      <c r="I13" s="180"/>
      <c r="J13" s="180"/>
      <c r="K13" s="180"/>
      <c r="L13" s="180"/>
      <c r="M13" s="180"/>
      <c r="N13" s="180"/>
      <c r="O13" s="180"/>
      <c r="P13" s="180"/>
      <c r="Q13" s="180"/>
      <c r="R13" s="180"/>
      <c r="S13" s="180"/>
      <c r="T13" s="180"/>
      <c r="U13" s="180"/>
      <c r="V13" s="180"/>
      <c r="W13" s="181"/>
      <c r="X13" s="51"/>
      <c r="Y13" s="51"/>
      <c r="Z13" s="51"/>
      <c r="AA13" s="51"/>
      <c r="AB13" s="51"/>
      <c r="AC13" s="51"/>
      <c r="AD13" s="51"/>
      <c r="AE13" s="179"/>
      <c r="AF13" s="180"/>
      <c r="AG13" s="180"/>
      <c r="AH13" s="180"/>
      <c r="AI13" s="180"/>
      <c r="AJ13" s="180"/>
      <c r="AK13" s="180"/>
      <c r="AL13" s="180"/>
      <c r="AM13" s="180"/>
      <c r="AN13" s="180"/>
      <c r="AO13" s="180"/>
      <c r="AP13" s="180"/>
      <c r="AQ13" s="180"/>
      <c r="AR13" s="180"/>
      <c r="AS13" s="180"/>
      <c r="AT13" s="180"/>
      <c r="AU13" s="180"/>
      <c r="AV13" s="180"/>
      <c r="AW13" s="180"/>
      <c r="AX13" s="180"/>
      <c r="AY13" s="180"/>
      <c r="AZ13" s="180"/>
      <c r="BA13" s="18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row>
    <row r="14" spans="1:97" ht="14.25" x14ac:dyDescent="0.1">
      <c r="A14" s="179"/>
      <c r="B14" s="180"/>
      <c r="C14" s="180"/>
      <c r="D14" s="180"/>
      <c r="E14" s="180"/>
      <c r="F14" s="180"/>
      <c r="G14" s="180"/>
      <c r="H14" s="180"/>
      <c r="I14" s="180"/>
      <c r="J14" s="180"/>
      <c r="K14" s="180"/>
      <c r="L14" s="180"/>
      <c r="M14" s="180"/>
      <c r="N14" s="180"/>
      <c r="O14" s="180"/>
      <c r="P14" s="180"/>
      <c r="Q14" s="180"/>
      <c r="R14" s="180"/>
      <c r="S14" s="180"/>
      <c r="T14" s="180"/>
      <c r="U14" s="180"/>
      <c r="V14" s="180"/>
      <c r="W14" s="181"/>
      <c r="X14" s="51"/>
      <c r="Y14" s="51"/>
      <c r="Z14" s="51"/>
      <c r="AA14" s="51"/>
      <c r="AB14" s="51"/>
      <c r="AC14" s="51"/>
      <c r="AD14" s="51"/>
      <c r="AE14" s="179"/>
      <c r="AF14" s="180"/>
      <c r="AG14" s="180"/>
      <c r="AH14" s="180"/>
      <c r="AI14" s="180"/>
      <c r="AJ14" s="180"/>
      <c r="AK14" s="180"/>
      <c r="AL14" s="180"/>
      <c r="AM14" s="180"/>
      <c r="AN14" s="180"/>
      <c r="AO14" s="180"/>
      <c r="AP14" s="180"/>
      <c r="AQ14" s="180"/>
      <c r="AR14" s="180"/>
      <c r="AS14" s="180"/>
      <c r="AT14" s="180"/>
      <c r="AU14" s="180"/>
      <c r="AV14" s="180"/>
      <c r="AW14" s="180"/>
      <c r="AX14" s="180"/>
      <c r="AY14" s="180"/>
      <c r="AZ14" s="180"/>
      <c r="BA14" s="18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row>
    <row r="15" spans="1:97" ht="14.25" x14ac:dyDescent="0.1">
      <c r="A15" s="179"/>
      <c r="B15" s="180"/>
      <c r="C15" s="180"/>
      <c r="D15" s="180"/>
      <c r="E15" s="180"/>
      <c r="F15" s="180"/>
      <c r="G15" s="180"/>
      <c r="H15" s="180"/>
      <c r="I15" s="180"/>
      <c r="J15" s="180"/>
      <c r="K15" s="180"/>
      <c r="L15" s="180"/>
      <c r="M15" s="180"/>
      <c r="N15" s="180"/>
      <c r="O15" s="180"/>
      <c r="P15" s="180"/>
      <c r="Q15" s="180"/>
      <c r="R15" s="180"/>
      <c r="S15" s="180"/>
      <c r="T15" s="180"/>
      <c r="U15" s="180"/>
      <c r="V15" s="180"/>
      <c r="W15" s="181"/>
      <c r="X15" s="51"/>
      <c r="Y15" s="51"/>
      <c r="Z15" s="51"/>
      <c r="AA15" s="51"/>
      <c r="AB15" s="51"/>
      <c r="AC15" s="51"/>
      <c r="AD15" s="51"/>
      <c r="AE15" s="179"/>
      <c r="AF15" s="180"/>
      <c r="AG15" s="180"/>
      <c r="AH15" s="180"/>
      <c r="AI15" s="180"/>
      <c r="AJ15" s="180"/>
      <c r="AK15" s="180"/>
      <c r="AL15" s="180"/>
      <c r="AM15" s="180"/>
      <c r="AN15" s="180"/>
      <c r="AO15" s="180"/>
      <c r="AP15" s="180"/>
      <c r="AQ15" s="180"/>
      <c r="AR15" s="180"/>
      <c r="AS15" s="180"/>
      <c r="AT15" s="180"/>
      <c r="AU15" s="180"/>
      <c r="AV15" s="180"/>
      <c r="AW15" s="180"/>
      <c r="AX15" s="180"/>
      <c r="AY15" s="180"/>
      <c r="AZ15" s="180"/>
      <c r="BA15" s="18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row>
    <row r="16" spans="1:97" ht="14.25" x14ac:dyDescent="0.1">
      <c r="A16" s="179"/>
      <c r="B16" s="180"/>
      <c r="C16" s="180"/>
      <c r="D16" s="180"/>
      <c r="E16" s="180"/>
      <c r="F16" s="180"/>
      <c r="G16" s="180"/>
      <c r="H16" s="180"/>
      <c r="I16" s="180"/>
      <c r="J16" s="180"/>
      <c r="K16" s="180"/>
      <c r="L16" s="180"/>
      <c r="M16" s="180"/>
      <c r="N16" s="180"/>
      <c r="O16" s="180"/>
      <c r="P16" s="180"/>
      <c r="Q16" s="180"/>
      <c r="R16" s="180"/>
      <c r="S16" s="180"/>
      <c r="T16" s="180"/>
      <c r="U16" s="180"/>
      <c r="V16" s="180"/>
      <c r="W16" s="181"/>
      <c r="X16" s="51"/>
      <c r="Y16" s="51"/>
      <c r="Z16" s="51"/>
      <c r="AA16" s="51"/>
      <c r="AB16" s="51"/>
      <c r="AC16" s="51"/>
      <c r="AD16" s="51"/>
      <c r="AE16" s="179"/>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row>
    <row r="17" spans="1:97" ht="14.25" x14ac:dyDescent="0.1">
      <c r="A17" s="179"/>
      <c r="B17" s="180"/>
      <c r="C17" s="180"/>
      <c r="D17" s="180"/>
      <c r="E17" s="180"/>
      <c r="F17" s="180"/>
      <c r="G17" s="180"/>
      <c r="H17" s="180"/>
      <c r="I17" s="180"/>
      <c r="J17" s="180"/>
      <c r="K17" s="180"/>
      <c r="L17" s="180"/>
      <c r="M17" s="180"/>
      <c r="N17" s="180"/>
      <c r="O17" s="180"/>
      <c r="P17" s="180"/>
      <c r="Q17" s="180"/>
      <c r="R17" s="180"/>
      <c r="S17" s="180"/>
      <c r="T17" s="180"/>
      <c r="U17" s="180"/>
      <c r="V17" s="180"/>
      <c r="W17" s="181"/>
      <c r="X17" s="51"/>
      <c r="Y17" s="51"/>
      <c r="Z17" s="51"/>
      <c r="AA17" s="51"/>
      <c r="AB17" s="51"/>
      <c r="AC17" s="51"/>
      <c r="AD17" s="51"/>
      <c r="AE17" s="179"/>
      <c r="AF17" s="180"/>
      <c r="AG17" s="180"/>
      <c r="AH17" s="180"/>
      <c r="AI17" s="180"/>
      <c r="AJ17" s="180"/>
      <c r="AK17" s="180"/>
      <c r="AL17" s="180"/>
      <c r="AM17" s="180"/>
      <c r="AN17" s="180"/>
      <c r="AO17" s="180"/>
      <c r="AP17" s="180"/>
      <c r="AQ17" s="180"/>
      <c r="AR17" s="180"/>
      <c r="AS17" s="180"/>
      <c r="AT17" s="180"/>
      <c r="AU17" s="180"/>
      <c r="AV17" s="180"/>
      <c r="AW17" s="180"/>
      <c r="AX17" s="180"/>
      <c r="AY17" s="180"/>
      <c r="AZ17" s="180"/>
      <c r="BA17" s="18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row>
    <row r="18" spans="1:97" ht="14.25" x14ac:dyDescent="0.1">
      <c r="A18" s="179"/>
      <c r="B18" s="180"/>
      <c r="C18" s="180"/>
      <c r="D18" s="180"/>
      <c r="E18" s="180"/>
      <c r="F18" s="180"/>
      <c r="G18" s="180"/>
      <c r="H18" s="180"/>
      <c r="I18" s="180"/>
      <c r="J18" s="180"/>
      <c r="K18" s="180"/>
      <c r="L18" s="180"/>
      <c r="M18" s="180"/>
      <c r="N18" s="180"/>
      <c r="O18" s="180"/>
      <c r="P18" s="180"/>
      <c r="Q18" s="180"/>
      <c r="R18" s="180"/>
      <c r="S18" s="180"/>
      <c r="T18" s="180"/>
      <c r="U18" s="180"/>
      <c r="V18" s="180"/>
      <c r="W18" s="181"/>
      <c r="X18" s="51"/>
      <c r="Y18" s="51"/>
      <c r="Z18" s="51"/>
      <c r="AA18" s="51"/>
      <c r="AB18" s="51"/>
      <c r="AC18" s="51"/>
      <c r="AD18" s="51"/>
      <c r="AE18" s="179"/>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row>
    <row r="19" spans="1:97" ht="14.25" x14ac:dyDescent="0.1">
      <c r="A19" s="179"/>
      <c r="B19" s="180"/>
      <c r="C19" s="180"/>
      <c r="D19" s="180"/>
      <c r="E19" s="180"/>
      <c r="F19" s="180"/>
      <c r="G19" s="180"/>
      <c r="H19" s="180"/>
      <c r="I19" s="180"/>
      <c r="J19" s="180"/>
      <c r="K19" s="180"/>
      <c r="L19" s="180"/>
      <c r="M19" s="180"/>
      <c r="N19" s="180"/>
      <c r="O19" s="180"/>
      <c r="P19" s="180"/>
      <c r="Q19" s="180"/>
      <c r="R19" s="180"/>
      <c r="S19" s="180"/>
      <c r="T19" s="180"/>
      <c r="U19" s="180"/>
      <c r="V19" s="180"/>
      <c r="W19" s="181"/>
      <c r="X19" s="51"/>
      <c r="Y19" s="51"/>
      <c r="Z19" s="51"/>
      <c r="AA19" s="51"/>
      <c r="AB19" s="51"/>
      <c r="AC19" s="51"/>
      <c r="AD19" s="51"/>
      <c r="AE19" s="179"/>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row>
    <row r="20" spans="1:97" ht="14.25" x14ac:dyDescent="0.1">
      <c r="A20" s="179"/>
      <c r="B20" s="180"/>
      <c r="C20" s="180"/>
      <c r="D20" s="180"/>
      <c r="E20" s="180"/>
      <c r="F20" s="180"/>
      <c r="G20" s="180"/>
      <c r="H20" s="180"/>
      <c r="I20" s="180"/>
      <c r="J20" s="180"/>
      <c r="K20" s="180"/>
      <c r="L20" s="180"/>
      <c r="M20" s="180"/>
      <c r="N20" s="180"/>
      <c r="O20" s="180"/>
      <c r="P20" s="180"/>
      <c r="Q20" s="180"/>
      <c r="R20" s="180"/>
      <c r="S20" s="180"/>
      <c r="T20" s="180"/>
      <c r="U20" s="180"/>
      <c r="V20" s="180"/>
      <c r="W20" s="181"/>
      <c r="X20" s="51"/>
      <c r="Y20" s="51"/>
      <c r="Z20" s="51"/>
      <c r="AA20" s="51"/>
      <c r="AB20" s="51"/>
      <c r="AC20" s="51"/>
      <c r="AD20" s="51"/>
      <c r="AE20" s="179"/>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8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row>
    <row r="21" spans="1:97" ht="14.25" x14ac:dyDescent="0.1">
      <c r="A21" s="179"/>
      <c r="B21" s="180"/>
      <c r="C21" s="180"/>
      <c r="D21" s="180"/>
      <c r="E21" s="180"/>
      <c r="F21" s="180"/>
      <c r="G21" s="180"/>
      <c r="H21" s="180"/>
      <c r="I21" s="180"/>
      <c r="J21" s="180"/>
      <c r="K21" s="180"/>
      <c r="L21" s="180"/>
      <c r="M21" s="180"/>
      <c r="N21" s="180"/>
      <c r="O21" s="180"/>
      <c r="P21" s="180"/>
      <c r="Q21" s="180"/>
      <c r="R21" s="180"/>
      <c r="S21" s="180"/>
      <c r="T21" s="180"/>
      <c r="U21" s="180"/>
      <c r="V21" s="180"/>
      <c r="W21" s="181"/>
      <c r="X21" s="51"/>
      <c r="Y21" s="51"/>
      <c r="Z21" s="51"/>
      <c r="AA21" s="51"/>
      <c r="AB21" s="51"/>
      <c r="AC21" s="51"/>
      <c r="AD21" s="51"/>
      <c r="AE21" s="179"/>
      <c r="AF21" s="180"/>
      <c r="AG21" s="180"/>
      <c r="AH21" s="180"/>
      <c r="AI21" s="180"/>
      <c r="AJ21" s="180"/>
      <c r="AK21" s="180"/>
      <c r="AL21" s="180"/>
      <c r="AM21" s="180"/>
      <c r="AN21" s="180"/>
      <c r="AO21" s="180"/>
      <c r="AP21" s="180"/>
      <c r="AQ21" s="180"/>
      <c r="AR21" s="180"/>
      <c r="AS21" s="180"/>
      <c r="AT21" s="180"/>
      <c r="AU21" s="180"/>
      <c r="AV21" s="180"/>
      <c r="AW21" s="180"/>
      <c r="AX21" s="180"/>
      <c r="AY21" s="180"/>
      <c r="AZ21" s="180"/>
      <c r="BA21" s="18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row>
    <row r="22" spans="1:97" ht="14.25" x14ac:dyDescent="0.1">
      <c r="A22" s="179"/>
      <c r="B22" s="180"/>
      <c r="C22" s="180"/>
      <c r="D22" s="180"/>
      <c r="E22" s="180"/>
      <c r="F22" s="180"/>
      <c r="G22" s="180"/>
      <c r="H22" s="180"/>
      <c r="I22" s="180"/>
      <c r="J22" s="180"/>
      <c r="K22" s="180"/>
      <c r="L22" s="180"/>
      <c r="M22" s="180"/>
      <c r="N22" s="180"/>
      <c r="O22" s="180"/>
      <c r="P22" s="180"/>
      <c r="Q22" s="180"/>
      <c r="R22" s="180"/>
      <c r="S22" s="180"/>
      <c r="T22" s="180"/>
      <c r="U22" s="180"/>
      <c r="V22" s="180"/>
      <c r="W22" s="181"/>
      <c r="X22" s="51"/>
      <c r="Y22" s="51"/>
      <c r="Z22" s="51"/>
      <c r="AA22" s="51"/>
      <c r="AB22" s="51"/>
      <c r="AC22" s="51"/>
      <c r="AD22" s="51"/>
      <c r="AE22" s="179"/>
      <c r="AF22" s="180"/>
      <c r="AG22" s="180"/>
      <c r="AH22" s="180"/>
      <c r="AI22" s="180"/>
      <c r="AJ22" s="180"/>
      <c r="AK22" s="180"/>
      <c r="AL22" s="180"/>
      <c r="AM22" s="180"/>
      <c r="AN22" s="180"/>
      <c r="AO22" s="180"/>
      <c r="AP22" s="180"/>
      <c r="AQ22" s="180"/>
      <c r="AR22" s="180"/>
      <c r="AS22" s="180"/>
      <c r="AT22" s="180"/>
      <c r="AU22" s="180"/>
      <c r="AV22" s="180"/>
      <c r="AW22" s="180"/>
      <c r="AX22" s="180"/>
      <c r="AY22" s="180"/>
      <c r="AZ22" s="180"/>
      <c r="BA22" s="18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row>
    <row r="23" spans="1:97" ht="14.25" x14ac:dyDescent="0.1">
      <c r="A23" s="179"/>
      <c r="B23" s="180"/>
      <c r="C23" s="180"/>
      <c r="D23" s="180"/>
      <c r="E23" s="180"/>
      <c r="F23" s="180"/>
      <c r="G23" s="180"/>
      <c r="H23" s="180"/>
      <c r="I23" s="180"/>
      <c r="J23" s="180"/>
      <c r="K23" s="180"/>
      <c r="L23" s="180"/>
      <c r="M23" s="180"/>
      <c r="N23" s="180"/>
      <c r="O23" s="180"/>
      <c r="P23" s="180"/>
      <c r="Q23" s="180"/>
      <c r="R23" s="180"/>
      <c r="S23" s="180"/>
      <c r="T23" s="180"/>
      <c r="U23" s="180"/>
      <c r="V23" s="180"/>
      <c r="W23" s="181"/>
      <c r="X23" s="51"/>
      <c r="Y23" s="51"/>
      <c r="Z23" s="51"/>
      <c r="AA23" s="51"/>
      <c r="AB23" s="51"/>
      <c r="AC23" s="51"/>
      <c r="AD23" s="51"/>
      <c r="AE23" s="179"/>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row>
    <row r="24" spans="1:97" ht="14.25" x14ac:dyDescent="0.1">
      <c r="A24" s="179"/>
      <c r="B24" s="180"/>
      <c r="C24" s="180"/>
      <c r="D24" s="180"/>
      <c r="E24" s="180"/>
      <c r="F24" s="180"/>
      <c r="G24" s="180"/>
      <c r="H24" s="180"/>
      <c r="I24" s="180"/>
      <c r="J24" s="180"/>
      <c r="K24" s="180"/>
      <c r="L24" s="180"/>
      <c r="M24" s="180"/>
      <c r="N24" s="180"/>
      <c r="O24" s="180"/>
      <c r="P24" s="180"/>
      <c r="Q24" s="180"/>
      <c r="R24" s="180"/>
      <c r="S24" s="180"/>
      <c r="T24" s="180"/>
      <c r="U24" s="180"/>
      <c r="V24" s="180"/>
      <c r="W24" s="181"/>
      <c r="X24" s="51"/>
      <c r="Y24" s="51"/>
      <c r="Z24" s="51"/>
      <c r="AA24" s="51"/>
      <c r="AB24" s="51"/>
      <c r="AC24" s="51"/>
      <c r="AD24" s="51"/>
      <c r="AE24" s="179"/>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row>
    <row r="25" spans="1:97" ht="14.25" x14ac:dyDescent="0.1">
      <c r="A25" s="179"/>
      <c r="B25" s="180"/>
      <c r="C25" s="180"/>
      <c r="D25" s="180"/>
      <c r="E25" s="180"/>
      <c r="F25" s="180"/>
      <c r="G25" s="180"/>
      <c r="H25" s="180"/>
      <c r="I25" s="180"/>
      <c r="J25" s="180"/>
      <c r="K25" s="180"/>
      <c r="L25" s="180"/>
      <c r="M25" s="180"/>
      <c r="N25" s="180"/>
      <c r="O25" s="180"/>
      <c r="P25" s="180"/>
      <c r="Q25" s="180"/>
      <c r="R25" s="180"/>
      <c r="S25" s="180"/>
      <c r="T25" s="180"/>
      <c r="U25" s="180"/>
      <c r="V25" s="180"/>
      <c r="W25" s="181"/>
      <c r="X25" s="51"/>
      <c r="Y25" s="51"/>
      <c r="Z25" s="51"/>
      <c r="AA25" s="51"/>
      <c r="AB25" s="51"/>
      <c r="AC25" s="51"/>
      <c r="AD25" s="51"/>
      <c r="AE25" s="179"/>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row>
    <row r="26" spans="1:97" ht="14.25" x14ac:dyDescent="0.1">
      <c r="A26" s="179"/>
      <c r="B26" s="180"/>
      <c r="C26" s="180"/>
      <c r="D26" s="180"/>
      <c r="E26" s="180"/>
      <c r="F26" s="180"/>
      <c r="G26" s="180"/>
      <c r="H26" s="180"/>
      <c r="I26" s="180"/>
      <c r="J26" s="180"/>
      <c r="K26" s="180"/>
      <c r="L26" s="180"/>
      <c r="M26" s="180"/>
      <c r="N26" s="180"/>
      <c r="O26" s="180"/>
      <c r="P26" s="180"/>
      <c r="Q26" s="180"/>
      <c r="R26" s="180"/>
      <c r="S26" s="180"/>
      <c r="T26" s="180"/>
      <c r="U26" s="180"/>
      <c r="V26" s="180"/>
      <c r="W26" s="181"/>
      <c r="X26" s="51"/>
      <c r="Y26" s="51"/>
      <c r="Z26" s="51"/>
      <c r="AA26" s="51"/>
      <c r="AB26" s="51"/>
      <c r="AC26" s="51"/>
      <c r="AD26" s="51"/>
      <c r="AE26" s="179"/>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row>
    <row r="27" spans="1:97" ht="14.25" x14ac:dyDescent="0.1">
      <c r="A27" s="162"/>
      <c r="B27" s="163"/>
      <c r="C27" s="163"/>
      <c r="D27" s="163"/>
      <c r="E27" s="163"/>
      <c r="F27" s="163"/>
      <c r="G27" s="163"/>
      <c r="H27" s="163"/>
      <c r="I27" s="163"/>
      <c r="J27" s="163"/>
      <c r="K27" s="163"/>
      <c r="L27" s="163"/>
      <c r="M27" s="163"/>
      <c r="N27" s="163"/>
      <c r="O27" s="163"/>
      <c r="P27" s="163"/>
      <c r="Q27" s="163"/>
      <c r="R27" s="163"/>
      <c r="S27" s="163"/>
      <c r="T27" s="163"/>
      <c r="U27" s="163"/>
      <c r="V27" s="163"/>
      <c r="W27" s="164"/>
      <c r="X27" s="51"/>
      <c r="Y27" s="51"/>
      <c r="Z27" s="51"/>
      <c r="AA27" s="51"/>
      <c r="AB27" s="51"/>
      <c r="AC27" s="51"/>
      <c r="AD27" s="51"/>
      <c r="AE27" s="162"/>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4"/>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row>
    <row r="28" spans="1:97" ht="14.25" x14ac:dyDescent="0.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row>
    <row r="29" spans="1:97" ht="14.25" x14ac:dyDescent="0.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c r="CS29" s="51"/>
    </row>
    <row r="30" spans="1:97" ht="14.25" x14ac:dyDescent="0.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c r="CS30" s="51"/>
    </row>
    <row r="31" spans="1:97" ht="14.25" x14ac:dyDescent="0.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row>
    <row r="32" spans="1:97" ht="14.25" x14ac:dyDescent="0.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c r="CS32" s="51"/>
    </row>
    <row r="33" spans="1:97" ht="14.25" x14ac:dyDescent="0.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row>
    <row r="34" spans="1:97" ht="14.25" x14ac:dyDescent="0.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row>
    <row r="35" spans="1:97" ht="14.25" x14ac:dyDescent="0.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row>
    <row r="36" spans="1:97" ht="14.25" x14ac:dyDescent="0.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row>
    <row r="37" spans="1:97" ht="14.25" x14ac:dyDescent="0.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row>
    <row r="38" spans="1:97" ht="14.25" x14ac:dyDescent="0.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c r="CS38" s="51"/>
    </row>
    <row r="39" spans="1:97" ht="14.25" x14ac:dyDescent="0.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c r="CS39" s="51"/>
    </row>
    <row r="40" spans="1:97" ht="14.25" x14ac:dyDescent="0.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M40" s="51"/>
      <c r="CN40" s="51"/>
      <c r="CO40" s="51"/>
      <c r="CP40" s="51"/>
      <c r="CQ40" s="51"/>
      <c r="CR40" s="51"/>
      <c r="CS40" s="51"/>
    </row>
    <row r="41" spans="1:97" ht="14.25" x14ac:dyDescent="0.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row>
    <row r="42" spans="1:97" ht="14.25" x14ac:dyDescent="0.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row>
    <row r="43" spans="1:97" ht="14.25" x14ac:dyDescent="0.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row>
    <row r="44" spans="1:97" ht="14.25" x14ac:dyDescent="0.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row>
    <row r="45" spans="1:97" ht="14.25" x14ac:dyDescent="0.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c r="BR45" s="51"/>
      <c r="BS45" s="51"/>
      <c r="BT45" s="51"/>
      <c r="BU45" s="51"/>
      <c r="BV45" s="51"/>
      <c r="BW45" s="51"/>
      <c r="BX45" s="51"/>
      <c r="BY45" s="51"/>
      <c r="BZ45" s="51"/>
      <c r="CA45" s="51"/>
      <c r="CB45" s="51"/>
      <c r="CC45" s="51"/>
      <c r="CD45" s="51"/>
      <c r="CE45" s="51"/>
      <c r="CF45" s="51"/>
      <c r="CG45" s="51"/>
      <c r="CH45" s="51"/>
      <c r="CI45" s="51"/>
      <c r="CJ45" s="51"/>
      <c r="CK45" s="51"/>
      <c r="CL45" s="51"/>
      <c r="CM45" s="51"/>
      <c r="CN45" s="51"/>
      <c r="CO45" s="51"/>
      <c r="CP45" s="51"/>
      <c r="CQ45" s="51"/>
      <c r="CR45" s="51"/>
      <c r="CS45" s="51"/>
    </row>
    <row r="46" spans="1:97" ht="14.25" x14ac:dyDescent="0.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row>
    <row r="47" spans="1:97" ht="14.25" x14ac:dyDescent="0.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row>
    <row r="48" spans="1:97" ht="14.25" x14ac:dyDescent="0.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row>
    <row r="49" spans="1:97" ht="14.25" x14ac:dyDescent="0.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c r="BR49" s="51"/>
      <c r="BS49" s="51"/>
      <c r="BT49" s="51"/>
      <c r="BU49" s="51"/>
      <c r="BV49" s="51"/>
      <c r="BW49" s="51"/>
      <c r="BX49" s="51"/>
      <c r="BY49" s="51"/>
      <c r="BZ49" s="51"/>
      <c r="CA49" s="51"/>
      <c r="CB49" s="51"/>
      <c r="CC49" s="51"/>
      <c r="CD49" s="51"/>
      <c r="CE49" s="51"/>
      <c r="CF49" s="51"/>
      <c r="CG49" s="51"/>
      <c r="CH49" s="51"/>
      <c r="CI49" s="51"/>
      <c r="CJ49" s="51"/>
      <c r="CK49" s="51"/>
      <c r="CL49" s="51"/>
      <c r="CM49" s="51"/>
      <c r="CN49" s="51"/>
      <c r="CO49" s="51"/>
      <c r="CP49" s="51"/>
      <c r="CQ49" s="51"/>
      <c r="CR49" s="51"/>
      <c r="CS49" s="51"/>
    </row>
    <row r="50" spans="1:97" ht="14.25" x14ac:dyDescent="0.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row>
    <row r="51" spans="1:97" ht="14.25" x14ac:dyDescent="0.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c r="BR51" s="51"/>
      <c r="BS51" s="51"/>
      <c r="BT51" s="51"/>
      <c r="BU51" s="51"/>
      <c r="BV51" s="51"/>
      <c r="BW51" s="51"/>
      <c r="BX51" s="51"/>
      <c r="BY51" s="51"/>
      <c r="BZ51" s="51"/>
      <c r="CA51" s="51"/>
      <c r="CB51" s="51"/>
      <c r="CC51" s="51"/>
      <c r="CD51" s="51"/>
      <c r="CE51" s="51"/>
      <c r="CF51" s="51"/>
      <c r="CG51" s="51"/>
      <c r="CH51" s="51"/>
      <c r="CI51" s="51"/>
      <c r="CJ51" s="51"/>
      <c r="CK51" s="51"/>
      <c r="CL51" s="51"/>
      <c r="CM51" s="51"/>
      <c r="CN51" s="51"/>
      <c r="CO51" s="51"/>
      <c r="CP51" s="51"/>
      <c r="CQ51" s="51"/>
      <c r="CR51" s="51"/>
      <c r="CS51" s="51"/>
    </row>
    <row r="52" spans="1:97" ht="14.25" x14ac:dyDescent="0.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row>
    <row r="53" spans="1:97" ht="14.25" x14ac:dyDescent="0.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row>
    <row r="54" spans="1:97" ht="14.25" x14ac:dyDescent="0.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row>
    <row r="55" spans="1:97" ht="14.25" x14ac:dyDescent="0.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1"/>
      <c r="BZ55" s="51"/>
      <c r="CA55" s="51"/>
      <c r="CB55" s="51"/>
      <c r="CC55" s="51"/>
      <c r="CD55" s="51"/>
      <c r="CE55" s="51"/>
      <c r="CF55" s="51"/>
      <c r="CG55" s="51"/>
      <c r="CH55" s="51"/>
      <c r="CI55" s="51"/>
      <c r="CJ55" s="51"/>
      <c r="CK55" s="51"/>
      <c r="CL55" s="51"/>
      <c r="CM55" s="51"/>
      <c r="CN55" s="51"/>
      <c r="CO55" s="51"/>
      <c r="CP55" s="51"/>
      <c r="CQ55" s="51"/>
      <c r="CR55" s="51"/>
      <c r="CS55" s="51"/>
    </row>
    <row r="56" spans="1:97" ht="14.25" x14ac:dyDescent="0.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row>
    <row r="57" spans="1:97" ht="14.25" x14ac:dyDescent="0.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row>
    <row r="58" spans="1:97" ht="14.25" x14ac:dyDescent="0.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1"/>
      <c r="BZ58" s="51"/>
      <c r="CA58" s="51"/>
      <c r="CB58" s="51"/>
      <c r="CC58" s="51"/>
      <c r="CD58" s="51"/>
      <c r="CE58" s="51"/>
      <c r="CF58" s="51"/>
      <c r="CG58" s="51"/>
      <c r="CH58" s="51"/>
      <c r="CI58" s="51"/>
      <c r="CJ58" s="51"/>
      <c r="CK58" s="51"/>
      <c r="CL58" s="51"/>
      <c r="CM58" s="51"/>
      <c r="CN58" s="51"/>
      <c r="CO58" s="51"/>
      <c r="CP58" s="51"/>
      <c r="CQ58" s="51"/>
      <c r="CR58" s="51"/>
      <c r="CS58" s="51"/>
    </row>
    <row r="59" spans="1:97" ht="14.25" x14ac:dyDescent="0.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row>
    <row r="60" spans="1:97" ht="14.25" x14ac:dyDescent="0.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row>
    <row r="61" spans="1:97" ht="14.25" x14ac:dyDescent="0.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row>
    <row r="62" spans="1:97" ht="14.25" x14ac:dyDescent="0.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row>
    <row r="63" spans="1:97" ht="14.25" x14ac:dyDescent="0.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row>
    <row r="64" spans="1:97" ht="14.25" x14ac:dyDescent="0.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row>
    <row r="65" spans="1:97" ht="14.25" x14ac:dyDescent="0.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row>
    <row r="66" spans="1:97" ht="14.25" x14ac:dyDescent="0.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c r="CH66" s="51"/>
      <c r="CI66" s="51"/>
      <c r="CJ66" s="51"/>
      <c r="CK66" s="51"/>
      <c r="CL66" s="51"/>
      <c r="CM66" s="51"/>
      <c r="CN66" s="51"/>
      <c r="CO66" s="51"/>
      <c r="CP66" s="51"/>
      <c r="CQ66" s="51"/>
      <c r="CR66" s="51"/>
      <c r="CS66" s="51"/>
    </row>
    <row r="67" spans="1:97" ht="14.25" x14ac:dyDescent="0.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row>
    <row r="68" spans="1:97" ht="14.25" x14ac:dyDescent="0.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c r="CH68" s="51"/>
      <c r="CI68" s="51"/>
      <c r="CJ68" s="51"/>
      <c r="CK68" s="51"/>
      <c r="CL68" s="51"/>
      <c r="CM68" s="51"/>
      <c r="CN68" s="51"/>
      <c r="CO68" s="51"/>
      <c r="CP68" s="51"/>
      <c r="CQ68" s="51"/>
      <c r="CR68" s="51"/>
      <c r="CS68" s="51"/>
    </row>
    <row r="69" spans="1:97" ht="14.25" x14ac:dyDescent="0.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row>
    <row r="70" spans="1:97" ht="14.25" x14ac:dyDescent="0.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row>
    <row r="71" spans="1:97" ht="14.25" x14ac:dyDescent="0.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row>
    <row r="72" spans="1:97" ht="14.25" x14ac:dyDescent="0.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row>
    <row r="73" spans="1:97" ht="14.25" x14ac:dyDescent="0.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row>
    <row r="74" spans="1:97" ht="14.25" x14ac:dyDescent="0.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c r="CH74" s="51"/>
      <c r="CI74" s="51"/>
      <c r="CJ74" s="51"/>
      <c r="CK74" s="51"/>
      <c r="CL74" s="51"/>
      <c r="CM74" s="51"/>
      <c r="CN74" s="51"/>
      <c r="CO74" s="51"/>
      <c r="CP74" s="51"/>
      <c r="CQ74" s="51"/>
      <c r="CR74" s="51"/>
      <c r="CS74" s="51"/>
    </row>
    <row r="75" spans="1:97" ht="14.25" x14ac:dyDescent="0.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row>
    <row r="76" spans="1:97" ht="14.25" x14ac:dyDescent="0.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row>
    <row r="77" spans="1:97" ht="14.25" x14ac:dyDescent="0.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row>
    <row r="78" spans="1:97" ht="14.25" x14ac:dyDescent="0.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51"/>
      <c r="CK78" s="51"/>
      <c r="CL78" s="51"/>
      <c r="CM78" s="51"/>
      <c r="CN78" s="51"/>
      <c r="CO78" s="51"/>
      <c r="CP78" s="51"/>
      <c r="CQ78" s="51"/>
      <c r="CR78" s="51"/>
      <c r="CS78" s="51"/>
    </row>
    <row r="79" spans="1:97" ht="14.25" x14ac:dyDescent="0.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row>
    <row r="80" spans="1:97" ht="14.25" x14ac:dyDescent="0.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c r="CH80" s="51"/>
      <c r="CI80" s="51"/>
      <c r="CJ80" s="51"/>
      <c r="CK80" s="51"/>
      <c r="CL80" s="51"/>
      <c r="CM80" s="51"/>
      <c r="CN80" s="51"/>
      <c r="CO80" s="51"/>
      <c r="CP80" s="51"/>
      <c r="CQ80" s="51"/>
      <c r="CR80" s="51"/>
      <c r="CS80" s="51"/>
    </row>
    <row r="81" spans="1:97" ht="14.25" x14ac:dyDescent="0.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row>
    <row r="82" spans="1:97" ht="14.25" x14ac:dyDescent="0.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row>
    <row r="83" spans="1:97" ht="14.25" x14ac:dyDescent="0.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row>
    <row r="84" spans="1:97" ht="14.25" x14ac:dyDescent="0.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c r="CH84" s="51"/>
      <c r="CI84" s="51"/>
      <c r="CJ84" s="51"/>
      <c r="CK84" s="51"/>
      <c r="CL84" s="51"/>
      <c r="CM84" s="51"/>
      <c r="CN84" s="51"/>
      <c r="CO84" s="51"/>
      <c r="CP84" s="51"/>
      <c r="CQ84" s="51"/>
      <c r="CR84" s="51"/>
      <c r="CS84" s="51"/>
    </row>
    <row r="85" spans="1:97" ht="14.25" x14ac:dyDescent="0.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c r="CH85" s="51"/>
      <c r="CI85" s="51"/>
      <c r="CJ85" s="51"/>
      <c r="CK85" s="51"/>
      <c r="CL85" s="51"/>
      <c r="CM85" s="51"/>
      <c r="CN85" s="51"/>
      <c r="CO85" s="51"/>
      <c r="CP85" s="51"/>
      <c r="CQ85" s="51"/>
      <c r="CR85" s="51"/>
      <c r="CS85" s="51"/>
    </row>
    <row r="86" spans="1:97" ht="14.25" x14ac:dyDescent="0.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row>
    <row r="87" spans="1:97" ht="14.25" x14ac:dyDescent="0.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c r="CH87" s="51"/>
      <c r="CI87" s="51"/>
      <c r="CJ87" s="51"/>
      <c r="CK87" s="51"/>
      <c r="CL87" s="51"/>
      <c r="CM87" s="51"/>
      <c r="CN87" s="51"/>
      <c r="CO87" s="51"/>
      <c r="CP87" s="51"/>
      <c r="CQ87" s="51"/>
      <c r="CR87" s="51"/>
      <c r="CS87" s="51"/>
    </row>
    <row r="88" spans="1:97" ht="14.25" x14ac:dyDescent="0.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row>
    <row r="89" spans="1:97" ht="14.25" x14ac:dyDescent="0.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c r="CH89" s="51"/>
      <c r="CI89" s="51"/>
      <c r="CJ89" s="51"/>
      <c r="CK89" s="51"/>
      <c r="CL89" s="51"/>
      <c r="CM89" s="51"/>
      <c r="CN89" s="51"/>
      <c r="CO89" s="51"/>
      <c r="CP89" s="51"/>
      <c r="CQ89" s="51"/>
      <c r="CR89" s="51"/>
      <c r="CS89" s="51"/>
    </row>
    <row r="90" spans="1:97" ht="14.25" x14ac:dyDescent="0.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c r="CH90" s="51"/>
      <c r="CI90" s="51"/>
      <c r="CJ90" s="51"/>
      <c r="CK90" s="51"/>
      <c r="CL90" s="51"/>
      <c r="CM90" s="51"/>
      <c r="CN90" s="51"/>
      <c r="CO90" s="51"/>
      <c r="CP90" s="51"/>
      <c r="CQ90" s="51"/>
      <c r="CR90" s="51"/>
      <c r="CS90" s="51"/>
    </row>
    <row r="91" spans="1:97" ht="14.25" x14ac:dyDescent="0.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c r="CH91" s="51"/>
      <c r="CI91" s="51"/>
      <c r="CJ91" s="51"/>
      <c r="CK91" s="51"/>
      <c r="CL91" s="51"/>
      <c r="CM91" s="51"/>
      <c r="CN91" s="51"/>
      <c r="CO91" s="51"/>
      <c r="CP91" s="51"/>
      <c r="CQ91" s="51"/>
      <c r="CR91" s="51"/>
      <c r="CS91" s="51"/>
    </row>
    <row r="92" spans="1:97" ht="14.25" x14ac:dyDescent="0.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row>
    <row r="93" spans="1:97" ht="14.25" x14ac:dyDescent="0.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c r="CH93" s="51"/>
      <c r="CI93" s="51"/>
      <c r="CJ93" s="51"/>
      <c r="CK93" s="51"/>
      <c r="CL93" s="51"/>
      <c r="CM93" s="51"/>
      <c r="CN93" s="51"/>
      <c r="CO93" s="51"/>
      <c r="CP93" s="51"/>
      <c r="CQ93" s="51"/>
      <c r="CR93" s="51"/>
      <c r="CS93" s="51"/>
    </row>
    <row r="94" spans="1:97" ht="14.25" x14ac:dyDescent="0.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row>
    <row r="95" spans="1:97" ht="14.25" x14ac:dyDescent="0.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c r="CH95" s="51"/>
      <c r="CI95" s="51"/>
      <c r="CJ95" s="51"/>
      <c r="CK95" s="51"/>
      <c r="CL95" s="51"/>
      <c r="CM95" s="51"/>
      <c r="CN95" s="51"/>
      <c r="CO95" s="51"/>
      <c r="CP95" s="51"/>
      <c r="CQ95" s="51"/>
      <c r="CR95" s="51"/>
      <c r="CS95" s="51"/>
    </row>
    <row r="96" spans="1:97" ht="14.25" x14ac:dyDescent="0.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row>
    <row r="97" spans="1:97" ht="14.25" x14ac:dyDescent="0.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c r="CH97" s="51"/>
      <c r="CI97" s="51"/>
      <c r="CJ97" s="51"/>
      <c r="CK97" s="51"/>
      <c r="CL97" s="51"/>
      <c r="CM97" s="51"/>
      <c r="CN97" s="51"/>
      <c r="CO97" s="51"/>
      <c r="CP97" s="51"/>
      <c r="CQ97" s="51"/>
      <c r="CR97" s="51"/>
      <c r="CS97" s="51"/>
    </row>
    <row r="98" spans="1:97" ht="14.25" x14ac:dyDescent="0.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row>
    <row r="99" spans="1:97" ht="14.25" x14ac:dyDescent="0.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row>
    <row r="100" spans="1:97" ht="14.25" x14ac:dyDescent="0.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c r="CH100" s="51"/>
      <c r="CI100" s="51"/>
      <c r="CJ100" s="51"/>
      <c r="CK100" s="51"/>
      <c r="CL100" s="51"/>
      <c r="CM100" s="51"/>
      <c r="CN100" s="51"/>
      <c r="CO100" s="51"/>
      <c r="CP100" s="51"/>
      <c r="CQ100" s="51"/>
      <c r="CR100" s="51"/>
      <c r="CS100" s="51"/>
    </row>
    <row r="101" spans="1:97" ht="14.25" x14ac:dyDescent="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row>
    <row r="102" spans="1:97" ht="14.25" x14ac:dyDescent="0.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c r="CQ102" s="51"/>
      <c r="CR102" s="51"/>
      <c r="CS102" s="51"/>
    </row>
    <row r="103" spans="1:97" ht="14.25" x14ac:dyDescent="0.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c r="CQ103" s="51"/>
      <c r="CR103" s="51"/>
      <c r="CS103" s="51"/>
    </row>
    <row r="104" spans="1:97" ht="14.25" x14ac:dyDescent="0.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row>
    <row r="105" spans="1:97" ht="14.25" x14ac:dyDescent="0.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c r="CQ105" s="51"/>
      <c r="CR105" s="51"/>
      <c r="CS105" s="51"/>
    </row>
    <row r="106" spans="1:97" ht="14.25" x14ac:dyDescent="0.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row>
    <row r="107" spans="1:97" ht="14.25" x14ac:dyDescent="0.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row>
    <row r="108" spans="1:97" ht="14.25" x14ac:dyDescent="0.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c r="CQ108" s="51"/>
      <c r="CR108" s="51"/>
      <c r="CS108" s="51"/>
    </row>
    <row r="109" spans="1:97" ht="14.25" x14ac:dyDescent="0.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row>
    <row r="110" spans="1:97" ht="14.25" x14ac:dyDescent="0.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row>
    <row r="111" spans="1:97" ht="14.25" x14ac:dyDescent="0.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c r="CQ111" s="51"/>
      <c r="CR111" s="51"/>
      <c r="CS111" s="51"/>
    </row>
  </sheetData>
  <mergeCells count="9">
    <mergeCell ref="Y8:AC8"/>
    <mergeCell ref="A4:W27"/>
    <mergeCell ref="AE4:BA27"/>
    <mergeCell ref="Y9:AC12"/>
    <mergeCell ref="A1:BB1"/>
    <mergeCell ref="A3:W3"/>
    <mergeCell ref="AE3:BA3"/>
    <mergeCell ref="Y6:AC6"/>
    <mergeCell ref="Y7:AC7"/>
  </mergeCells>
  <dataValidations count="2">
    <dataValidation type="list" allowBlank="1" showInputMessage="1" showErrorMessage="1" sqref="Y7:AC7" xr:uid="{00000000-0002-0000-0600-000000000000}">
      <formula1>"常驻部署,战时召唤,常驻变形,战时变形"</formula1>
    </dataValidation>
    <dataValidation allowBlank="1" showInputMessage="1" showErrorMessage="1" sqref="Y9:AC9" xr:uid="{00000000-0002-0000-0600-000001000000}"/>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1139"/>
  <sheetViews>
    <sheetView topLeftCell="I79" workbookViewId="0">
      <selection activeCell="W94" sqref="W94"/>
    </sheetView>
  </sheetViews>
  <sheetFormatPr defaultColWidth="8.86328125" defaultRowHeight="13.5" x14ac:dyDescent="0.1"/>
  <cols>
    <col min="1" max="1" width="16.49609375" customWidth="1"/>
    <col min="2" max="3" width="14.04296875" customWidth="1"/>
    <col min="4" max="4" width="11.86328125" customWidth="1"/>
    <col min="5" max="5" width="16.49609375" customWidth="1"/>
    <col min="6" max="8" width="14.04296875" customWidth="1"/>
    <col min="9" max="9" width="16.49609375" customWidth="1"/>
    <col min="10" max="10" width="11.86328125" customWidth="1"/>
    <col min="11" max="12" width="14.04296875" customWidth="1"/>
    <col min="13" max="13" width="11.86328125" customWidth="1"/>
  </cols>
  <sheetData>
    <row r="1" spans="1:21" ht="14.25" x14ac:dyDescent="0.2">
      <c r="A1" t="s">
        <v>27</v>
      </c>
      <c r="B1" t="s">
        <v>236</v>
      </c>
      <c r="C1" t="s">
        <v>237</v>
      </c>
      <c r="E1" t="s">
        <v>238</v>
      </c>
      <c r="F1" t="s">
        <v>239</v>
      </c>
      <c r="G1" t="s">
        <v>240</v>
      </c>
      <c r="H1" t="s">
        <v>241</v>
      </c>
      <c r="I1" t="s">
        <v>8</v>
      </c>
      <c r="J1" t="s">
        <v>242</v>
      </c>
      <c r="K1" t="s">
        <v>243</v>
      </c>
      <c r="L1" t="s">
        <v>244</v>
      </c>
      <c r="M1" t="s">
        <v>245</v>
      </c>
      <c r="N1" t="s">
        <v>246</v>
      </c>
      <c r="O1" t="s">
        <v>247</v>
      </c>
      <c r="P1" t="s">
        <v>248</v>
      </c>
      <c r="Q1" t="s">
        <v>249</v>
      </c>
      <c r="R1" t="s">
        <v>250</v>
      </c>
      <c r="T1" s="39" t="s">
        <v>29</v>
      </c>
      <c r="U1" s="39" t="s">
        <v>251</v>
      </c>
    </row>
    <row r="2" spans="1:21" x14ac:dyDescent="0.1">
      <c r="A2" t="s">
        <v>252</v>
      </c>
      <c r="B2">
        <v>7</v>
      </c>
      <c r="C2">
        <v>5</v>
      </c>
      <c r="E2" t="s">
        <v>253</v>
      </c>
      <c r="F2" t="s">
        <v>253</v>
      </c>
      <c r="G2" t="s">
        <v>253</v>
      </c>
      <c r="H2" t="s">
        <v>253</v>
      </c>
      <c r="I2" t="s">
        <v>253</v>
      </c>
      <c r="J2" t="s">
        <v>253</v>
      </c>
      <c r="K2" t="s">
        <v>253</v>
      </c>
      <c r="L2" t="s">
        <v>253</v>
      </c>
      <c r="M2" t="s">
        <v>253</v>
      </c>
      <c r="N2" t="s">
        <v>253</v>
      </c>
      <c r="O2" t="s">
        <v>253</v>
      </c>
      <c r="P2" t="s">
        <v>253</v>
      </c>
      <c r="Q2" t="s">
        <v>253</v>
      </c>
      <c r="R2" t="s">
        <v>253</v>
      </c>
      <c r="T2" s="40">
        <v>8</v>
      </c>
      <c r="U2" s="40">
        <v>0</v>
      </c>
    </row>
    <row r="3" spans="1:21" x14ac:dyDescent="0.1">
      <c r="A3" t="s">
        <v>61</v>
      </c>
      <c r="B3">
        <v>6</v>
      </c>
      <c r="C3">
        <v>4</v>
      </c>
      <c r="E3" t="s">
        <v>254</v>
      </c>
      <c r="F3" t="s">
        <v>255</v>
      </c>
      <c r="G3" t="s">
        <v>256</v>
      </c>
      <c r="H3" t="s">
        <v>257</v>
      </c>
      <c r="I3" t="s">
        <v>258</v>
      </c>
      <c r="J3" t="s">
        <v>259</v>
      </c>
      <c r="K3" t="s">
        <v>260</v>
      </c>
      <c r="L3" t="s">
        <v>261</v>
      </c>
      <c r="M3" t="s">
        <v>262</v>
      </c>
      <c r="N3" t="s">
        <v>263</v>
      </c>
      <c r="O3" t="s">
        <v>264</v>
      </c>
      <c r="P3" t="s">
        <v>265</v>
      </c>
      <c r="Q3" t="s">
        <v>266</v>
      </c>
      <c r="T3" s="40">
        <v>9</v>
      </c>
      <c r="U3" s="40">
        <v>1</v>
      </c>
    </row>
    <row r="4" spans="1:21" x14ac:dyDescent="0.1">
      <c r="A4" t="s">
        <v>267</v>
      </c>
      <c r="B4">
        <v>6</v>
      </c>
      <c r="C4">
        <v>4</v>
      </c>
      <c r="E4" t="s">
        <v>268</v>
      </c>
      <c r="F4" t="s">
        <v>269</v>
      </c>
      <c r="G4" t="s">
        <v>270</v>
      </c>
      <c r="H4" t="s">
        <v>271</v>
      </c>
      <c r="I4" t="s">
        <v>13</v>
      </c>
      <c r="J4" t="s">
        <v>272</v>
      </c>
      <c r="K4" t="s">
        <v>273</v>
      </c>
      <c r="L4" t="s">
        <v>274</v>
      </c>
      <c r="M4" t="s">
        <v>275</v>
      </c>
      <c r="N4" t="s">
        <v>276</v>
      </c>
      <c r="O4" t="s">
        <v>277</v>
      </c>
      <c r="P4" t="s">
        <v>278</v>
      </c>
      <c r="Q4" t="s">
        <v>279</v>
      </c>
      <c r="T4" s="40">
        <v>10</v>
      </c>
      <c r="U4" s="40">
        <v>2</v>
      </c>
    </row>
    <row r="5" spans="1:21" x14ac:dyDescent="0.1">
      <c r="A5" t="s">
        <v>280</v>
      </c>
      <c r="B5">
        <v>5</v>
      </c>
      <c r="C5">
        <v>3</v>
      </c>
      <c r="E5" t="s">
        <v>281</v>
      </c>
      <c r="G5" t="s">
        <v>282</v>
      </c>
      <c r="H5" t="s">
        <v>283</v>
      </c>
      <c r="I5" t="s">
        <v>284</v>
      </c>
      <c r="J5" t="s">
        <v>285</v>
      </c>
      <c r="K5" t="s">
        <v>286</v>
      </c>
      <c r="L5" t="s">
        <v>287</v>
      </c>
      <c r="O5" t="s">
        <v>288</v>
      </c>
      <c r="Q5" t="s">
        <v>289</v>
      </c>
      <c r="T5" s="40">
        <v>11</v>
      </c>
      <c r="U5" s="40">
        <v>3</v>
      </c>
    </row>
    <row r="6" spans="1:21" x14ac:dyDescent="0.1">
      <c r="A6" t="s">
        <v>290</v>
      </c>
      <c r="B6">
        <v>6</v>
      </c>
      <c r="C6">
        <v>4</v>
      </c>
      <c r="E6" t="s">
        <v>291</v>
      </c>
      <c r="G6" t="s">
        <v>292</v>
      </c>
      <c r="H6" t="s">
        <v>293</v>
      </c>
      <c r="I6" t="s">
        <v>294</v>
      </c>
      <c r="Q6" t="s">
        <v>295</v>
      </c>
      <c r="T6" s="40">
        <v>12</v>
      </c>
      <c r="U6" s="40">
        <v>4</v>
      </c>
    </row>
    <row r="7" spans="1:21" x14ac:dyDescent="0.1">
      <c r="A7" t="s">
        <v>296</v>
      </c>
      <c r="B7">
        <v>5</v>
      </c>
      <c r="C7">
        <v>3</v>
      </c>
      <c r="E7" t="s">
        <v>297</v>
      </c>
      <c r="G7" t="s">
        <v>298</v>
      </c>
      <c r="Q7" t="s">
        <v>299</v>
      </c>
      <c r="T7" s="40">
        <v>13</v>
      </c>
      <c r="U7" s="40">
        <v>5</v>
      </c>
    </row>
    <row r="8" spans="1:21" x14ac:dyDescent="0.1">
      <c r="A8" t="s">
        <v>300</v>
      </c>
      <c r="B8">
        <v>5</v>
      </c>
      <c r="C8">
        <v>3</v>
      </c>
      <c r="E8" t="s">
        <v>301</v>
      </c>
      <c r="G8" t="s">
        <v>302</v>
      </c>
      <c r="Q8" t="s">
        <v>303</v>
      </c>
      <c r="T8" s="40">
        <v>14</v>
      </c>
      <c r="U8" s="40">
        <v>7</v>
      </c>
    </row>
    <row r="9" spans="1:21" x14ac:dyDescent="0.1">
      <c r="A9" t="s">
        <v>304</v>
      </c>
      <c r="B9">
        <v>5</v>
      </c>
      <c r="C9">
        <v>3</v>
      </c>
      <c r="E9" t="s">
        <v>305</v>
      </c>
      <c r="G9" t="s">
        <v>306</v>
      </c>
      <c r="Q9" t="s">
        <v>307</v>
      </c>
      <c r="T9" s="40">
        <v>15</v>
      </c>
      <c r="U9" s="40">
        <v>9</v>
      </c>
    </row>
    <row r="10" spans="1:21" x14ac:dyDescent="0.1">
      <c r="A10" t="s">
        <v>58</v>
      </c>
      <c r="B10">
        <v>5</v>
      </c>
      <c r="C10">
        <v>3</v>
      </c>
      <c r="E10" t="s">
        <v>308</v>
      </c>
      <c r="T10" s="40">
        <v>16</v>
      </c>
      <c r="U10" s="40">
        <v>12</v>
      </c>
    </row>
    <row r="11" spans="1:21" x14ac:dyDescent="0.1">
      <c r="A11" t="s">
        <v>309</v>
      </c>
      <c r="B11">
        <v>5</v>
      </c>
      <c r="C11">
        <v>3</v>
      </c>
      <c r="E11" t="s">
        <v>310</v>
      </c>
    </row>
    <row r="12" spans="1:21" x14ac:dyDescent="0.1">
      <c r="A12" t="s">
        <v>52</v>
      </c>
      <c r="B12">
        <v>5</v>
      </c>
      <c r="C12">
        <v>3</v>
      </c>
      <c r="E12" t="s">
        <v>311</v>
      </c>
    </row>
    <row r="13" spans="1:21" x14ac:dyDescent="0.1">
      <c r="A13" t="s">
        <v>312</v>
      </c>
      <c r="B13">
        <v>4</v>
      </c>
      <c r="C13">
        <v>2</v>
      </c>
      <c r="E13" t="s">
        <v>313</v>
      </c>
    </row>
    <row r="14" spans="1:21" x14ac:dyDescent="0.1">
      <c r="A14" t="s">
        <v>314</v>
      </c>
      <c r="B14">
        <v>4</v>
      </c>
      <c r="C14">
        <v>2</v>
      </c>
      <c r="E14" t="s">
        <v>315</v>
      </c>
    </row>
    <row r="15" spans="1:21" x14ac:dyDescent="0.1">
      <c r="E15" t="s">
        <v>316</v>
      </c>
    </row>
    <row r="16" spans="1:21" x14ac:dyDescent="0.1">
      <c r="A16" t="s">
        <v>317</v>
      </c>
      <c r="B16">
        <f>IFERROR(VLOOKUP(主要情况!M7,A2:C14,2,0)*主要情况!W7+VLOOKUP(主要情况!M7,A2:C14,3,0),0)</f>
        <v>0</v>
      </c>
      <c r="E16" t="s">
        <v>318</v>
      </c>
    </row>
    <row r="17" spans="1:13" x14ac:dyDescent="0.1">
      <c r="A17" t="s">
        <v>319</v>
      </c>
      <c r="B17">
        <f>IFERROR(VLOOKUP(主要情况!M8,A2:C14,2,0)*主要情况!W8,0)</f>
        <v>0</v>
      </c>
      <c r="E17" t="s">
        <v>320</v>
      </c>
    </row>
    <row r="18" spans="1:13" x14ac:dyDescent="0.1">
      <c r="A18" t="s">
        <v>321</v>
      </c>
      <c r="B18">
        <f>IFERROR(VLOOKUP(主要情况!M9,A2:C14,2,0)*主要情况!W9,0)</f>
        <v>0</v>
      </c>
    </row>
    <row r="19" spans="1:13" x14ac:dyDescent="0.1">
      <c r="A19" t="s">
        <v>322</v>
      </c>
      <c r="B19">
        <f>IFERROR(VLOOKUP(主要情况!M10,A2:C14,2,0)*主要情况!W10,0)</f>
        <v>0</v>
      </c>
    </row>
    <row r="21" spans="1:13" x14ac:dyDescent="0.1">
      <c r="A21" t="s">
        <v>323</v>
      </c>
      <c r="B21">
        <f>SUM(B16:B19)+主要情况!E9*主要情况!M4</f>
        <v>0</v>
      </c>
    </row>
    <row r="23" spans="1:13" x14ac:dyDescent="0.1">
      <c r="A23" t="s">
        <v>324</v>
      </c>
      <c r="B23" t="s">
        <v>325</v>
      </c>
      <c r="C23" t="s">
        <v>326</v>
      </c>
      <c r="D23" t="s">
        <v>327</v>
      </c>
      <c r="E23" t="s">
        <v>328</v>
      </c>
      <c r="F23" t="s">
        <v>329</v>
      </c>
      <c r="G23" t="s">
        <v>330</v>
      </c>
      <c r="H23" t="s">
        <v>331</v>
      </c>
      <c r="I23" t="s">
        <v>332</v>
      </c>
      <c r="J23" t="s">
        <v>333</v>
      </c>
      <c r="K23" t="s">
        <v>334</v>
      </c>
      <c r="L23" t="s">
        <v>335</v>
      </c>
      <c r="M23" t="s">
        <v>336</v>
      </c>
    </row>
    <row r="24" spans="1:13" x14ac:dyDescent="0.1">
      <c r="A24" t="s">
        <v>337</v>
      </c>
      <c r="B24" t="s">
        <v>338</v>
      </c>
      <c r="C24" t="s">
        <v>339</v>
      </c>
      <c r="D24" t="s">
        <v>340</v>
      </c>
      <c r="E24" t="s">
        <v>341</v>
      </c>
      <c r="F24" t="s">
        <v>342</v>
      </c>
      <c r="G24" t="s">
        <v>343</v>
      </c>
      <c r="H24" t="s">
        <v>243</v>
      </c>
      <c r="I24" t="s">
        <v>344</v>
      </c>
      <c r="J24" t="s">
        <v>345</v>
      </c>
      <c r="K24" t="s">
        <v>346</v>
      </c>
      <c r="L24" t="s">
        <v>347</v>
      </c>
      <c r="M24" t="s">
        <v>348</v>
      </c>
    </row>
    <row r="25" spans="1:13" x14ac:dyDescent="0.1">
      <c r="A25" t="s">
        <v>349</v>
      </c>
      <c r="B25" t="s">
        <v>62</v>
      </c>
      <c r="C25" t="s">
        <v>53</v>
      </c>
      <c r="D25" t="s">
        <v>350</v>
      </c>
      <c r="E25" t="s">
        <v>351</v>
      </c>
      <c r="F25" t="s">
        <v>352</v>
      </c>
      <c r="G25" t="s">
        <v>353</v>
      </c>
      <c r="H25" t="s">
        <v>354</v>
      </c>
      <c r="I25" t="s">
        <v>355</v>
      </c>
      <c r="J25" t="s">
        <v>356</v>
      </c>
      <c r="K25" t="s">
        <v>357</v>
      </c>
      <c r="L25" t="s">
        <v>358</v>
      </c>
      <c r="M25" t="s">
        <v>359</v>
      </c>
    </row>
    <row r="26" spans="1:13" x14ac:dyDescent="0.1">
      <c r="A26" t="s">
        <v>360</v>
      </c>
      <c r="B26" t="s">
        <v>361</v>
      </c>
      <c r="C26" t="s">
        <v>362</v>
      </c>
      <c r="D26" t="s">
        <v>363</v>
      </c>
      <c r="E26" t="s">
        <v>364</v>
      </c>
      <c r="F26" t="s">
        <v>365</v>
      </c>
      <c r="G26" t="s">
        <v>366</v>
      </c>
      <c r="H26" t="s">
        <v>367</v>
      </c>
      <c r="I26" t="s">
        <v>368</v>
      </c>
      <c r="J26" t="s">
        <v>369</v>
      </c>
      <c r="K26" t="s">
        <v>370</v>
      </c>
      <c r="L26" t="s">
        <v>371</v>
      </c>
      <c r="M26" t="s">
        <v>372</v>
      </c>
    </row>
    <row r="27" spans="1:13" x14ac:dyDescent="0.1">
      <c r="A27" t="s">
        <v>239</v>
      </c>
      <c r="B27" t="s">
        <v>373</v>
      </c>
      <c r="C27" t="s">
        <v>374</v>
      </c>
      <c r="D27" t="s">
        <v>375</v>
      </c>
      <c r="E27" t="s">
        <v>376</v>
      </c>
      <c r="F27" t="s">
        <v>377</v>
      </c>
      <c r="G27" t="s">
        <v>378</v>
      </c>
      <c r="H27" t="s">
        <v>379</v>
      </c>
      <c r="I27" t="s">
        <v>380</v>
      </c>
      <c r="J27" t="s">
        <v>381</v>
      </c>
      <c r="K27" t="s">
        <v>382</v>
      </c>
      <c r="L27" t="s">
        <v>55</v>
      </c>
      <c r="M27" t="s">
        <v>383</v>
      </c>
    </row>
    <row r="28" spans="1:13" x14ac:dyDescent="0.1">
      <c r="A28" t="s">
        <v>384</v>
      </c>
      <c r="B28" t="s">
        <v>385</v>
      </c>
      <c r="C28" t="s">
        <v>386</v>
      </c>
      <c r="D28" t="s">
        <v>387</v>
      </c>
      <c r="E28" t="s">
        <v>388</v>
      </c>
      <c r="F28" t="s">
        <v>389</v>
      </c>
      <c r="G28" t="s">
        <v>390</v>
      </c>
      <c r="H28" t="s">
        <v>391</v>
      </c>
      <c r="I28" t="s">
        <v>59</v>
      </c>
      <c r="J28" t="s">
        <v>392</v>
      </c>
      <c r="K28" t="s">
        <v>393</v>
      </c>
      <c r="L28" t="s">
        <v>394</v>
      </c>
      <c r="M28" t="s">
        <v>395</v>
      </c>
    </row>
    <row r="29" spans="1:13" x14ac:dyDescent="0.1">
      <c r="A29" t="s">
        <v>396</v>
      </c>
      <c r="B29" t="s">
        <v>397</v>
      </c>
      <c r="C29" t="s">
        <v>398</v>
      </c>
      <c r="D29" t="s">
        <v>399</v>
      </c>
      <c r="F29" t="s">
        <v>400</v>
      </c>
      <c r="G29" t="s">
        <v>401</v>
      </c>
      <c r="H29" t="s">
        <v>402</v>
      </c>
      <c r="I29" t="s">
        <v>403</v>
      </c>
      <c r="J29" t="s">
        <v>404</v>
      </c>
      <c r="K29" t="s">
        <v>405</v>
      </c>
      <c r="L29" t="s">
        <v>406</v>
      </c>
      <c r="M29" t="s">
        <v>407</v>
      </c>
    </row>
    <row r="30" spans="1:13" x14ac:dyDescent="0.1">
      <c r="A30" t="s">
        <v>250</v>
      </c>
      <c r="B30" t="s">
        <v>408</v>
      </c>
      <c r="C30" t="s">
        <v>409</v>
      </c>
      <c r="D30" t="s">
        <v>410</v>
      </c>
      <c r="F30" t="s">
        <v>411</v>
      </c>
      <c r="G30" t="s">
        <v>412</v>
      </c>
      <c r="H30" t="s">
        <v>413</v>
      </c>
      <c r="I30" t="s">
        <v>414</v>
      </c>
      <c r="J30" t="s">
        <v>415</v>
      </c>
      <c r="K30" t="s">
        <v>416</v>
      </c>
      <c r="M30" t="s">
        <v>417</v>
      </c>
    </row>
    <row r="31" spans="1:13" x14ac:dyDescent="0.1">
      <c r="A31" t="s">
        <v>418</v>
      </c>
      <c r="B31" t="s">
        <v>419</v>
      </c>
      <c r="C31" t="s">
        <v>420</v>
      </c>
      <c r="D31" t="s">
        <v>421</v>
      </c>
      <c r="F31" t="s">
        <v>422</v>
      </c>
      <c r="H31" t="s">
        <v>423</v>
      </c>
      <c r="J31" t="s">
        <v>424</v>
      </c>
      <c r="K31" t="s">
        <v>425</v>
      </c>
      <c r="M31" t="s">
        <v>426</v>
      </c>
    </row>
    <row r="32" spans="1:13" x14ac:dyDescent="0.1">
      <c r="B32" t="s">
        <v>427</v>
      </c>
      <c r="C32" t="s">
        <v>428</v>
      </c>
      <c r="D32" t="s">
        <v>429</v>
      </c>
      <c r="J32" t="s">
        <v>430</v>
      </c>
      <c r="K32" t="s">
        <v>431</v>
      </c>
      <c r="M32" t="s">
        <v>432</v>
      </c>
    </row>
    <row r="33" spans="1:17" x14ac:dyDescent="0.1">
      <c r="B33" t="s">
        <v>433</v>
      </c>
      <c r="C33" t="s">
        <v>434</v>
      </c>
      <c r="J33" t="s">
        <v>435</v>
      </c>
      <c r="K33" t="s">
        <v>436</v>
      </c>
      <c r="M33" t="s">
        <v>437</v>
      </c>
    </row>
    <row r="34" spans="1:17" x14ac:dyDescent="0.1">
      <c r="B34" t="s">
        <v>438</v>
      </c>
      <c r="J34" t="s">
        <v>439</v>
      </c>
      <c r="M34" t="s">
        <v>440</v>
      </c>
    </row>
    <row r="35" spans="1:17" x14ac:dyDescent="0.1">
      <c r="J35" t="s">
        <v>441</v>
      </c>
      <c r="M35" t="s">
        <v>442</v>
      </c>
    </row>
    <row r="36" spans="1:17" x14ac:dyDescent="0.1">
      <c r="M36" t="s">
        <v>443</v>
      </c>
    </row>
    <row r="38" spans="1:17" x14ac:dyDescent="0.1">
      <c r="A38" t="s">
        <v>444</v>
      </c>
      <c r="B38" t="s">
        <v>445</v>
      </c>
    </row>
    <row r="39" spans="1:17" ht="14.25" x14ac:dyDescent="0.1">
      <c r="A39" s="36" t="s">
        <v>446</v>
      </c>
      <c r="B39" s="222" t="s">
        <v>447</v>
      </c>
      <c r="C39" s="222"/>
      <c r="D39" s="222"/>
      <c r="E39" s="222"/>
      <c r="F39" s="222"/>
      <c r="G39" s="222"/>
      <c r="H39" s="222"/>
      <c r="I39" s="222"/>
      <c r="K39" s="37"/>
      <c r="L39" s="20"/>
      <c r="M39" s="20"/>
      <c r="N39" s="20"/>
      <c r="O39" s="20"/>
      <c r="P39" s="20"/>
      <c r="Q39" s="20"/>
    </row>
    <row r="40" spans="1:17" ht="14.25" x14ac:dyDescent="0.1">
      <c r="A40" t="s">
        <v>448</v>
      </c>
      <c r="B40" s="222" t="s">
        <v>449</v>
      </c>
      <c r="C40" s="223"/>
      <c r="D40" s="223"/>
      <c r="E40" s="223"/>
      <c r="F40" s="223"/>
      <c r="G40" s="223"/>
      <c r="H40" s="223"/>
      <c r="I40" s="223"/>
      <c r="K40" s="38"/>
      <c r="L40" s="38"/>
      <c r="M40" s="38"/>
      <c r="N40" s="38"/>
      <c r="O40" s="38"/>
      <c r="P40" s="38"/>
      <c r="Q40" s="38"/>
    </row>
    <row r="41" spans="1:17" ht="14.25" x14ac:dyDescent="0.1">
      <c r="A41" t="s">
        <v>97</v>
      </c>
      <c r="B41" s="222" t="s">
        <v>98</v>
      </c>
      <c r="C41" s="223"/>
      <c r="D41" s="223"/>
      <c r="E41" s="223"/>
      <c r="F41" s="223"/>
      <c r="G41" s="223"/>
      <c r="H41" s="223"/>
      <c r="I41" s="223"/>
      <c r="K41" s="38"/>
      <c r="L41" s="38"/>
      <c r="M41" s="38"/>
      <c r="N41" s="38"/>
      <c r="O41" s="38"/>
      <c r="P41" s="38"/>
      <c r="Q41" s="38"/>
    </row>
    <row r="42" spans="1:17" ht="14.25" x14ac:dyDescent="0.1">
      <c r="A42" t="s">
        <v>450</v>
      </c>
      <c r="B42" s="222" t="s">
        <v>451</v>
      </c>
      <c r="C42" s="223"/>
      <c r="D42" s="223"/>
      <c r="E42" s="223"/>
      <c r="F42" s="223"/>
      <c r="G42" s="223"/>
      <c r="H42" s="223"/>
      <c r="I42" s="223"/>
      <c r="K42" s="38"/>
      <c r="L42" s="38"/>
      <c r="M42" s="38"/>
      <c r="N42" s="38"/>
      <c r="O42" s="38"/>
      <c r="P42" s="38"/>
      <c r="Q42" s="38"/>
    </row>
    <row r="43" spans="1:17" ht="14.25" x14ac:dyDescent="0.1">
      <c r="A43" t="s">
        <v>452</v>
      </c>
      <c r="B43" s="222" t="s">
        <v>453</v>
      </c>
      <c r="C43" s="223"/>
      <c r="D43" s="223"/>
      <c r="E43" s="223"/>
      <c r="F43" s="223"/>
      <c r="G43" s="223"/>
      <c r="H43" s="223"/>
      <c r="I43" s="223"/>
      <c r="K43" s="38"/>
      <c r="L43" s="38"/>
      <c r="M43" s="38"/>
      <c r="N43" s="38"/>
      <c r="O43" s="38"/>
      <c r="P43" s="38"/>
      <c r="Q43" s="38"/>
    </row>
    <row r="44" spans="1:17" ht="14.25" x14ac:dyDescent="0.1">
      <c r="A44" t="s">
        <v>454</v>
      </c>
      <c r="B44" s="222" t="s">
        <v>455</v>
      </c>
      <c r="C44" s="223"/>
      <c r="D44" s="223"/>
      <c r="E44" s="223"/>
      <c r="F44" s="223"/>
      <c r="G44" s="223"/>
      <c r="H44" s="223"/>
      <c r="I44" s="223"/>
      <c r="K44" s="38"/>
      <c r="L44" s="38"/>
      <c r="M44" s="38"/>
      <c r="N44" s="38"/>
      <c r="O44" s="38"/>
      <c r="P44" s="38"/>
      <c r="Q44" s="38"/>
    </row>
    <row r="45" spans="1:17" ht="14.25" x14ac:dyDescent="0.1">
      <c r="A45" t="s">
        <v>456</v>
      </c>
      <c r="B45" s="222" t="s">
        <v>457</v>
      </c>
      <c r="C45" s="223"/>
      <c r="D45" s="223"/>
      <c r="E45" s="223"/>
      <c r="F45" s="223"/>
      <c r="G45" s="223"/>
      <c r="H45" s="223"/>
      <c r="I45" s="223"/>
      <c r="K45" s="38" t="s">
        <v>458</v>
      </c>
      <c r="L45" s="38" t="s">
        <v>459</v>
      </c>
      <c r="M45" s="38" t="s">
        <v>41</v>
      </c>
      <c r="N45" s="38"/>
      <c r="O45" s="38"/>
      <c r="P45" s="38"/>
      <c r="Q45" s="38"/>
    </row>
    <row r="46" spans="1:17" ht="14.25" x14ac:dyDescent="0.1">
      <c r="A46" t="s">
        <v>460</v>
      </c>
      <c r="B46" s="222" t="s">
        <v>461</v>
      </c>
      <c r="C46" s="223"/>
      <c r="D46" s="223"/>
      <c r="E46" s="223"/>
      <c r="F46" s="223"/>
      <c r="G46" s="223"/>
      <c r="H46" s="223"/>
      <c r="I46" s="223"/>
      <c r="K46" s="38" t="s">
        <v>226</v>
      </c>
      <c r="L46" s="38">
        <v>2.5</v>
      </c>
      <c r="M46" s="38">
        <v>4</v>
      </c>
      <c r="N46" s="38"/>
      <c r="O46" s="38"/>
      <c r="P46" s="38"/>
      <c r="Q46" s="38"/>
    </row>
    <row r="47" spans="1:17" ht="14.25" x14ac:dyDescent="0.1">
      <c r="A47" t="s">
        <v>462</v>
      </c>
      <c r="B47" s="222" t="s">
        <v>463</v>
      </c>
      <c r="C47" s="223"/>
      <c r="D47" s="223"/>
      <c r="E47" s="223"/>
      <c r="F47" s="223"/>
      <c r="G47" s="223"/>
      <c r="H47" s="223"/>
      <c r="I47" s="223"/>
      <c r="K47" s="38" t="s">
        <v>464</v>
      </c>
      <c r="L47" s="38">
        <v>3.5</v>
      </c>
      <c r="M47" s="38">
        <v>6</v>
      </c>
      <c r="N47" s="38"/>
      <c r="O47" s="38"/>
      <c r="P47" s="38"/>
      <c r="Q47" s="38"/>
    </row>
    <row r="48" spans="1:17" ht="14.25" x14ac:dyDescent="0.1">
      <c r="A48" t="s">
        <v>465</v>
      </c>
      <c r="B48" s="222" t="s">
        <v>466</v>
      </c>
      <c r="C48" s="223"/>
      <c r="D48" s="223"/>
      <c r="E48" s="223"/>
      <c r="F48" s="223"/>
      <c r="G48" s="223"/>
      <c r="H48" s="223"/>
      <c r="I48" s="223"/>
      <c r="K48" s="38" t="s">
        <v>467</v>
      </c>
      <c r="L48" s="38">
        <v>4.5</v>
      </c>
      <c r="M48" s="38">
        <v>8</v>
      </c>
      <c r="N48" s="38"/>
      <c r="O48" s="38"/>
      <c r="P48" s="38"/>
      <c r="Q48" s="38"/>
    </row>
    <row r="49" spans="1:17" ht="14.25" x14ac:dyDescent="0.1">
      <c r="A49" t="s">
        <v>468</v>
      </c>
      <c r="B49" s="222" t="s">
        <v>469</v>
      </c>
      <c r="C49" s="223"/>
      <c r="D49" s="223"/>
      <c r="E49" s="223"/>
      <c r="F49" s="223"/>
      <c r="G49" s="223"/>
      <c r="H49" s="223"/>
      <c r="I49" s="223"/>
      <c r="K49" s="38" t="s">
        <v>470</v>
      </c>
      <c r="L49" s="38">
        <v>5.5</v>
      </c>
      <c r="M49" s="38">
        <v>10</v>
      </c>
      <c r="N49" s="38"/>
      <c r="O49" s="38"/>
      <c r="P49" s="38"/>
      <c r="Q49" s="38"/>
    </row>
    <row r="50" spans="1:17" ht="14.25" x14ac:dyDescent="0.1">
      <c r="A50" t="s">
        <v>471</v>
      </c>
      <c r="B50" s="222" t="s">
        <v>472</v>
      </c>
      <c r="C50" s="223"/>
      <c r="D50" s="223"/>
      <c r="E50" s="223"/>
      <c r="F50" s="223"/>
      <c r="G50" s="223"/>
      <c r="H50" s="223"/>
      <c r="I50" s="223"/>
      <c r="K50" s="38" t="s">
        <v>473</v>
      </c>
      <c r="L50" s="38">
        <v>6.5</v>
      </c>
      <c r="M50" s="38">
        <v>12</v>
      </c>
      <c r="N50" s="38"/>
      <c r="O50" s="38"/>
      <c r="P50" s="38"/>
      <c r="Q50" s="38"/>
    </row>
    <row r="51" spans="1:17" ht="14.25" x14ac:dyDescent="0.1">
      <c r="A51" t="s">
        <v>474</v>
      </c>
      <c r="B51" s="222" t="s">
        <v>475</v>
      </c>
      <c r="C51" s="223"/>
      <c r="D51" s="223"/>
      <c r="E51" s="223"/>
      <c r="F51" s="223"/>
      <c r="G51" s="223"/>
      <c r="H51" s="223"/>
      <c r="I51" s="223"/>
      <c r="K51" s="38"/>
      <c r="L51" s="38"/>
      <c r="M51" s="38"/>
      <c r="N51" s="38"/>
      <c r="O51" s="38"/>
      <c r="P51" s="38"/>
      <c r="Q51" s="38"/>
    </row>
    <row r="52" spans="1:17" ht="14.25" x14ac:dyDescent="0.1">
      <c r="A52" t="s">
        <v>476</v>
      </c>
      <c r="B52" s="222" t="s">
        <v>477</v>
      </c>
      <c r="C52" s="223"/>
      <c r="D52" s="223"/>
      <c r="E52" s="223"/>
      <c r="F52" s="223"/>
      <c r="G52" s="223"/>
      <c r="H52" s="223"/>
      <c r="I52" s="223"/>
      <c r="K52" s="38"/>
      <c r="L52" s="38"/>
      <c r="M52" s="38"/>
      <c r="N52" s="38"/>
      <c r="O52" s="38"/>
      <c r="P52" s="38"/>
      <c r="Q52" s="38"/>
    </row>
    <row r="53" spans="1:17" ht="14.25" x14ac:dyDescent="0.1">
      <c r="A53" t="s">
        <v>478</v>
      </c>
      <c r="B53" s="223" t="s">
        <v>479</v>
      </c>
      <c r="C53" s="223"/>
      <c r="D53" s="223"/>
      <c r="E53" s="223"/>
      <c r="F53" s="223"/>
      <c r="G53" s="223"/>
      <c r="H53" s="223"/>
      <c r="I53" s="223"/>
      <c r="K53" s="38"/>
      <c r="L53" s="38"/>
      <c r="M53" s="38"/>
      <c r="N53" s="38"/>
      <c r="O53" s="38"/>
      <c r="P53" s="38"/>
      <c r="Q53" s="38"/>
    </row>
    <row r="54" spans="1:17" ht="14.25" x14ac:dyDescent="0.1">
      <c r="A54" t="s">
        <v>480</v>
      </c>
      <c r="B54" s="222" t="s">
        <v>481</v>
      </c>
      <c r="C54" s="223"/>
      <c r="D54" s="223"/>
      <c r="E54" s="223"/>
      <c r="F54" s="223"/>
      <c r="G54" s="223"/>
      <c r="H54" s="223"/>
      <c r="I54" s="223"/>
      <c r="K54" s="38"/>
      <c r="L54" s="38"/>
      <c r="M54" s="38"/>
      <c r="N54" s="38"/>
      <c r="O54" s="38"/>
      <c r="P54" s="38"/>
      <c r="Q54" s="38"/>
    </row>
    <row r="55" spans="1:17" ht="14.25" x14ac:dyDescent="0.1">
      <c r="A55" t="s">
        <v>117</v>
      </c>
      <c r="B55" s="222" t="s">
        <v>118</v>
      </c>
      <c r="C55" s="223"/>
      <c r="D55" s="223"/>
      <c r="E55" s="223"/>
      <c r="F55" s="223"/>
      <c r="G55" s="223"/>
      <c r="H55" s="223"/>
      <c r="I55" s="223"/>
      <c r="K55" s="38"/>
      <c r="L55" s="38"/>
      <c r="M55" s="38"/>
      <c r="N55" s="38"/>
      <c r="O55" s="38"/>
      <c r="P55" s="38"/>
      <c r="Q55" s="38"/>
    </row>
    <row r="56" spans="1:17" ht="14.25" x14ac:dyDescent="0.1">
      <c r="A56" t="s">
        <v>482</v>
      </c>
      <c r="B56" s="222" t="s">
        <v>483</v>
      </c>
      <c r="C56" s="223"/>
      <c r="D56" s="223"/>
      <c r="E56" s="223"/>
      <c r="F56" s="223"/>
      <c r="G56" s="223"/>
      <c r="H56" s="223"/>
      <c r="I56" s="223"/>
      <c r="K56" s="38"/>
      <c r="L56" s="38"/>
      <c r="M56" s="38"/>
      <c r="N56" s="38"/>
      <c r="O56" s="38"/>
      <c r="P56" s="38"/>
      <c r="Q56" s="38"/>
    </row>
    <row r="57" spans="1:17" ht="14.25" x14ac:dyDescent="0.1">
      <c r="A57" t="s">
        <v>484</v>
      </c>
      <c r="B57" s="222" t="s">
        <v>485</v>
      </c>
      <c r="C57" s="223"/>
      <c r="D57" s="223"/>
      <c r="E57" s="223"/>
      <c r="F57" s="223"/>
      <c r="G57" s="223"/>
      <c r="H57" s="223"/>
      <c r="I57" s="223"/>
      <c r="K57" s="38"/>
      <c r="L57" s="38"/>
      <c r="M57" s="38"/>
      <c r="N57" s="38"/>
      <c r="O57" s="38"/>
      <c r="P57" s="38"/>
      <c r="Q57" s="38"/>
    </row>
    <row r="58" spans="1:17" ht="14.25" x14ac:dyDescent="0.1">
      <c r="A58" t="s">
        <v>486</v>
      </c>
      <c r="B58" s="222" t="s">
        <v>487</v>
      </c>
      <c r="C58" s="223"/>
      <c r="D58" s="223"/>
      <c r="E58" s="223"/>
      <c r="F58" s="223"/>
      <c r="G58" s="223"/>
      <c r="H58" s="223"/>
      <c r="I58" s="223"/>
      <c r="K58" s="38"/>
      <c r="L58" s="38"/>
      <c r="M58" s="38"/>
      <c r="N58" s="38"/>
      <c r="O58" s="38"/>
      <c r="P58" s="38"/>
      <c r="Q58" s="38"/>
    </row>
    <row r="59" spans="1:17" ht="14.25" x14ac:dyDescent="0.1">
      <c r="A59" t="s">
        <v>488</v>
      </c>
      <c r="B59" s="222" t="s">
        <v>489</v>
      </c>
      <c r="C59" s="223"/>
      <c r="D59" s="223"/>
      <c r="E59" s="223"/>
      <c r="F59" s="223"/>
      <c r="G59" s="223"/>
      <c r="H59" s="223"/>
      <c r="I59" s="223"/>
      <c r="K59" s="38"/>
      <c r="L59" s="38"/>
      <c r="M59" s="38"/>
      <c r="N59" s="38"/>
      <c r="O59" s="38"/>
      <c r="P59" s="38"/>
      <c r="Q59" s="38"/>
    </row>
    <row r="60" spans="1:17" ht="14.25" x14ac:dyDescent="0.1">
      <c r="A60" t="s">
        <v>490</v>
      </c>
      <c r="B60" s="222" t="s">
        <v>491</v>
      </c>
      <c r="C60" s="223"/>
      <c r="D60" s="223"/>
      <c r="E60" s="223"/>
      <c r="F60" s="223"/>
      <c r="G60" s="223"/>
      <c r="H60" s="223"/>
      <c r="I60" s="223"/>
      <c r="K60" s="38"/>
      <c r="L60" s="38"/>
      <c r="M60" s="38"/>
      <c r="N60" s="38"/>
      <c r="O60" s="38"/>
      <c r="P60" s="38"/>
      <c r="Q60" s="38"/>
    </row>
    <row r="61" spans="1:17" ht="14.25" x14ac:dyDescent="0.1">
      <c r="A61" t="s">
        <v>492</v>
      </c>
      <c r="B61" s="222" t="s">
        <v>493</v>
      </c>
      <c r="C61" s="223"/>
      <c r="D61" s="223"/>
      <c r="E61" s="223"/>
      <c r="F61" s="223"/>
      <c r="G61" s="223"/>
      <c r="H61" s="223"/>
      <c r="I61" s="223"/>
      <c r="K61" s="38"/>
      <c r="L61" s="38"/>
      <c r="M61" s="38"/>
      <c r="N61" s="38"/>
      <c r="O61" s="38"/>
      <c r="P61" s="38"/>
      <c r="Q61" s="38"/>
    </row>
    <row r="62" spans="1:17" ht="14.25" x14ac:dyDescent="0.1">
      <c r="A62" t="s">
        <v>494</v>
      </c>
      <c r="B62" s="222" t="s">
        <v>495</v>
      </c>
      <c r="C62" s="223"/>
      <c r="D62" s="223"/>
      <c r="E62" s="223"/>
      <c r="F62" s="223"/>
      <c r="G62" s="223"/>
      <c r="H62" s="223"/>
      <c r="I62" s="223"/>
      <c r="K62" s="38"/>
      <c r="L62" s="38"/>
      <c r="M62" s="38"/>
      <c r="N62" s="38"/>
      <c r="O62" s="38"/>
      <c r="P62" s="38"/>
      <c r="Q62" s="38"/>
    </row>
    <row r="63" spans="1:17" ht="14.25" x14ac:dyDescent="0.1">
      <c r="A63" t="s">
        <v>496</v>
      </c>
      <c r="B63" s="222" t="s">
        <v>497</v>
      </c>
      <c r="C63" s="223"/>
      <c r="D63" s="223"/>
      <c r="E63" s="223"/>
      <c r="F63" s="223"/>
      <c r="G63" s="223"/>
      <c r="H63" s="223"/>
      <c r="I63" s="223"/>
      <c r="K63" s="38"/>
      <c r="L63" s="38"/>
      <c r="M63" s="38"/>
      <c r="N63" s="38"/>
      <c r="O63" s="38"/>
      <c r="P63" s="38"/>
      <c r="Q63" s="38"/>
    </row>
    <row r="64" spans="1:17" ht="14.25" x14ac:dyDescent="0.1">
      <c r="A64" t="s">
        <v>498</v>
      </c>
      <c r="B64" s="222" t="s">
        <v>499</v>
      </c>
      <c r="C64" s="223"/>
      <c r="D64" s="223"/>
      <c r="E64" s="223"/>
      <c r="F64" s="223"/>
      <c r="G64" s="223"/>
      <c r="H64" s="223"/>
      <c r="I64" s="223"/>
      <c r="K64" s="38"/>
      <c r="L64" s="38"/>
      <c r="M64" s="38"/>
      <c r="N64" s="38"/>
      <c r="O64" s="38"/>
      <c r="P64" s="38"/>
      <c r="Q64" s="38"/>
    </row>
    <row r="65" spans="1:49" ht="14.25" x14ac:dyDescent="0.1">
      <c r="A65" t="s">
        <v>500</v>
      </c>
      <c r="B65" s="222" t="s">
        <v>501</v>
      </c>
      <c r="C65" s="222"/>
      <c r="D65" s="222"/>
      <c r="E65" s="222"/>
      <c r="F65" s="222"/>
      <c r="G65" s="222"/>
      <c r="H65" s="222"/>
      <c r="I65" s="222"/>
      <c r="K65" s="38"/>
      <c r="L65" s="38"/>
      <c r="M65" s="38"/>
      <c r="N65" s="38"/>
      <c r="O65" s="38"/>
      <c r="P65" s="38"/>
      <c r="Q65" s="38"/>
      <c r="S65" t="s">
        <v>502</v>
      </c>
      <c r="T65">
        <v>1</v>
      </c>
      <c r="U65">
        <v>2</v>
      </c>
      <c r="V65">
        <v>3</v>
      </c>
      <c r="W65">
        <v>4</v>
      </c>
      <c r="X65">
        <v>5</v>
      </c>
      <c r="Y65">
        <v>6</v>
      </c>
      <c r="Z65">
        <v>7</v>
      </c>
      <c r="AA65">
        <v>8</v>
      </c>
      <c r="AB65">
        <v>9</v>
      </c>
      <c r="AC65">
        <v>10</v>
      </c>
      <c r="AD65">
        <v>11</v>
      </c>
      <c r="AE65">
        <v>12</v>
      </c>
      <c r="AF65">
        <v>13</v>
      </c>
      <c r="AG65">
        <v>14</v>
      </c>
      <c r="AH65">
        <v>15</v>
      </c>
      <c r="AI65">
        <v>16</v>
      </c>
      <c r="AJ65">
        <v>17</v>
      </c>
      <c r="AK65">
        <v>18</v>
      </c>
      <c r="AL65">
        <v>19</v>
      </c>
      <c r="AM65">
        <v>20</v>
      </c>
      <c r="AN65">
        <v>21</v>
      </c>
      <c r="AO65">
        <v>22</v>
      </c>
      <c r="AP65">
        <v>23</v>
      </c>
      <c r="AQ65">
        <v>24</v>
      </c>
      <c r="AR65">
        <v>25</v>
      </c>
      <c r="AS65">
        <v>26</v>
      </c>
      <c r="AT65">
        <v>27</v>
      </c>
      <c r="AU65">
        <v>28</v>
      </c>
      <c r="AV65">
        <v>29</v>
      </c>
      <c r="AW65">
        <v>30</v>
      </c>
    </row>
    <row r="66" spans="1:49" ht="14.25" x14ac:dyDescent="0.1">
      <c r="A66" t="s">
        <v>503</v>
      </c>
      <c r="B66" s="222" t="s">
        <v>504</v>
      </c>
      <c r="C66" s="223"/>
      <c r="D66" s="223"/>
      <c r="E66" s="223"/>
      <c r="F66" s="223"/>
      <c r="G66" s="223"/>
      <c r="H66" s="223"/>
      <c r="I66" s="223"/>
      <c r="K66" s="38"/>
      <c r="L66" s="38"/>
      <c r="M66" s="38"/>
      <c r="N66" s="38"/>
      <c r="O66" s="38"/>
      <c r="P66" s="38"/>
      <c r="Q66" s="38"/>
      <c r="S66" t="s">
        <v>505</v>
      </c>
      <c r="T66">
        <v>7</v>
      </c>
      <c r="U66">
        <v>15</v>
      </c>
      <c r="V66">
        <v>22</v>
      </c>
      <c r="W66">
        <v>30</v>
      </c>
      <c r="X66">
        <v>37</v>
      </c>
      <c r="Y66">
        <v>45</v>
      </c>
      <c r="Z66">
        <v>52</v>
      </c>
      <c r="AA66">
        <v>60</v>
      </c>
      <c r="AB66">
        <v>67</v>
      </c>
      <c r="AC66">
        <v>75</v>
      </c>
      <c r="AD66">
        <v>82</v>
      </c>
      <c r="AE66">
        <v>90</v>
      </c>
      <c r="AF66">
        <v>97</v>
      </c>
      <c r="AG66">
        <v>105</v>
      </c>
      <c r="AH66">
        <v>115</v>
      </c>
      <c r="AI66">
        <v>125</v>
      </c>
      <c r="AJ66">
        <v>135</v>
      </c>
      <c r="AK66">
        <v>145</v>
      </c>
      <c r="AL66">
        <v>160</v>
      </c>
      <c r="AM66">
        <v>175</v>
      </c>
      <c r="AN66">
        <v>190</v>
      </c>
      <c r="AO66">
        <v>210</v>
      </c>
      <c r="AP66">
        <v>230</v>
      </c>
      <c r="AQ66">
        <v>275</v>
      </c>
      <c r="AR66">
        <v>275</v>
      </c>
      <c r="AS66">
        <v>300</v>
      </c>
      <c r="AT66">
        <v>325</v>
      </c>
      <c r="AU66">
        <v>375</v>
      </c>
      <c r="AV66">
        <v>425</v>
      </c>
      <c r="AW66">
        <v>500</v>
      </c>
    </row>
    <row r="67" spans="1:49" ht="14.25" x14ac:dyDescent="0.1">
      <c r="A67" t="s">
        <v>506</v>
      </c>
      <c r="B67" s="222" t="s">
        <v>507</v>
      </c>
      <c r="C67" s="223"/>
      <c r="D67" s="223"/>
      <c r="E67" s="223"/>
      <c r="F67" s="223"/>
      <c r="G67" s="223"/>
      <c r="H67" s="223"/>
      <c r="I67" s="223"/>
      <c r="K67" s="38"/>
      <c r="L67" s="38"/>
      <c r="M67" s="38"/>
      <c r="N67" s="38"/>
      <c r="O67" s="38"/>
      <c r="P67" s="38"/>
      <c r="Q67" s="38"/>
      <c r="S67" t="s">
        <v>508</v>
      </c>
      <c r="T67">
        <v>11</v>
      </c>
      <c r="U67">
        <v>22</v>
      </c>
      <c r="V67">
        <v>33</v>
      </c>
      <c r="W67">
        <v>45</v>
      </c>
      <c r="X67">
        <v>56</v>
      </c>
      <c r="Y67">
        <v>67</v>
      </c>
      <c r="Z67">
        <v>78</v>
      </c>
      <c r="AA67">
        <v>90</v>
      </c>
      <c r="AB67">
        <v>101</v>
      </c>
      <c r="AC67">
        <v>112</v>
      </c>
      <c r="AD67">
        <v>123</v>
      </c>
      <c r="AE67">
        <v>135</v>
      </c>
      <c r="AF67">
        <v>146</v>
      </c>
      <c r="AG67">
        <v>157</v>
      </c>
      <c r="AH67">
        <v>172</v>
      </c>
      <c r="AI67">
        <v>187</v>
      </c>
      <c r="AJ67">
        <v>202</v>
      </c>
      <c r="AK67">
        <v>217</v>
      </c>
      <c r="AL67">
        <v>240</v>
      </c>
      <c r="AM67">
        <v>262</v>
      </c>
      <c r="AN67">
        <v>285</v>
      </c>
      <c r="AO67">
        <v>315</v>
      </c>
      <c r="AP67">
        <v>345</v>
      </c>
      <c r="AQ67">
        <v>375</v>
      </c>
      <c r="AR67">
        <v>412</v>
      </c>
      <c r="AS67">
        <v>450</v>
      </c>
      <c r="AT67">
        <v>487</v>
      </c>
      <c r="AU67">
        <v>562</v>
      </c>
      <c r="AV67">
        <v>637</v>
      </c>
      <c r="AW67">
        <v>750</v>
      </c>
    </row>
    <row r="68" spans="1:49" ht="14.25" x14ac:dyDescent="0.1">
      <c r="A68" t="s">
        <v>107</v>
      </c>
      <c r="B68" s="222" t="s">
        <v>509</v>
      </c>
      <c r="C68" s="223"/>
      <c r="D68" s="223"/>
      <c r="E68" s="223"/>
      <c r="F68" s="223"/>
      <c r="G68" s="223"/>
      <c r="H68" s="223"/>
      <c r="I68" s="223"/>
      <c r="K68" s="38"/>
      <c r="L68" s="38"/>
      <c r="M68" s="38"/>
      <c r="N68" s="38"/>
      <c r="O68" s="38"/>
      <c r="P68" s="38"/>
      <c r="Q68" s="38"/>
      <c r="S68" t="s">
        <v>510</v>
      </c>
      <c r="T68">
        <v>15</v>
      </c>
      <c r="U68">
        <v>30</v>
      </c>
      <c r="V68">
        <v>45</v>
      </c>
      <c r="W68">
        <v>60</v>
      </c>
      <c r="X68">
        <v>75</v>
      </c>
      <c r="Y68">
        <v>90</v>
      </c>
      <c r="Z68">
        <v>105</v>
      </c>
      <c r="AA68">
        <v>120</v>
      </c>
      <c r="AB68">
        <v>135</v>
      </c>
      <c r="AC68">
        <v>150</v>
      </c>
      <c r="AD68">
        <v>165</v>
      </c>
      <c r="AE68">
        <v>180</v>
      </c>
      <c r="AF68">
        <v>195</v>
      </c>
      <c r="AG68">
        <v>210</v>
      </c>
      <c r="AH68">
        <v>230</v>
      </c>
      <c r="AI68">
        <v>250</v>
      </c>
      <c r="AJ68">
        <v>270</v>
      </c>
      <c r="AK68">
        <v>290</v>
      </c>
      <c r="AL68">
        <v>320</v>
      </c>
      <c r="AM68">
        <v>350</v>
      </c>
      <c r="AN68">
        <v>380</v>
      </c>
      <c r="AO68">
        <v>420</v>
      </c>
      <c r="AP68">
        <v>500</v>
      </c>
      <c r="AQ68">
        <v>500</v>
      </c>
      <c r="AR68">
        <v>550</v>
      </c>
      <c r="AS68">
        <v>600</v>
      </c>
      <c r="AT68">
        <v>650</v>
      </c>
      <c r="AU68">
        <v>750</v>
      </c>
      <c r="AV68">
        <v>850</v>
      </c>
      <c r="AW68">
        <v>1000</v>
      </c>
    </row>
    <row r="69" spans="1:49" ht="14.25" x14ac:dyDescent="0.1">
      <c r="A69" t="s">
        <v>511</v>
      </c>
      <c r="B69" s="222" t="s">
        <v>512</v>
      </c>
      <c r="C69" s="223"/>
      <c r="D69" s="223"/>
      <c r="E69" s="223"/>
      <c r="F69" s="223"/>
      <c r="G69" s="223"/>
      <c r="H69" s="223"/>
      <c r="I69" s="223"/>
      <c r="K69" s="38"/>
      <c r="L69" s="38"/>
      <c r="M69" s="38"/>
      <c r="N69" s="38"/>
      <c r="O69" s="38"/>
      <c r="P69" s="38"/>
      <c r="Q69" s="38"/>
      <c r="S69" t="s">
        <v>513</v>
      </c>
      <c r="T69">
        <v>30</v>
      </c>
      <c r="U69">
        <v>60</v>
      </c>
      <c r="V69">
        <v>90</v>
      </c>
      <c r="W69">
        <v>120</v>
      </c>
      <c r="X69">
        <v>150</v>
      </c>
      <c r="Y69">
        <v>180</v>
      </c>
      <c r="Z69">
        <v>210</v>
      </c>
      <c r="AA69">
        <v>240</v>
      </c>
      <c r="AB69">
        <v>270</v>
      </c>
      <c r="AC69">
        <v>300</v>
      </c>
      <c r="AD69">
        <v>330</v>
      </c>
      <c r="AE69">
        <v>360</v>
      </c>
      <c r="AF69">
        <v>390</v>
      </c>
      <c r="AG69">
        <v>420</v>
      </c>
      <c r="AH69">
        <v>460</v>
      </c>
      <c r="AI69">
        <v>500</v>
      </c>
      <c r="AJ69">
        <v>540</v>
      </c>
      <c r="AK69">
        <v>580</v>
      </c>
      <c r="AL69">
        <v>640</v>
      </c>
      <c r="AM69">
        <v>700</v>
      </c>
      <c r="AN69">
        <v>760</v>
      </c>
      <c r="AO69">
        <v>840</v>
      </c>
      <c r="AP69">
        <v>1000</v>
      </c>
      <c r="AQ69">
        <v>1000</v>
      </c>
      <c r="AR69">
        <v>1100</v>
      </c>
      <c r="AS69">
        <v>1200</v>
      </c>
      <c r="AT69">
        <v>1300</v>
      </c>
      <c r="AU69">
        <v>1500</v>
      </c>
      <c r="AV69">
        <v>1700</v>
      </c>
      <c r="AW69">
        <v>2000</v>
      </c>
    </row>
    <row r="70" spans="1:49" ht="14.25" x14ac:dyDescent="0.1">
      <c r="A70" t="s">
        <v>514</v>
      </c>
      <c r="B70" s="222" t="s">
        <v>515</v>
      </c>
      <c r="C70" s="223"/>
      <c r="D70" s="223"/>
      <c r="E70" s="223"/>
      <c r="F70" s="223"/>
      <c r="G70" s="223"/>
      <c r="H70" s="223"/>
      <c r="I70" s="223"/>
      <c r="K70" s="38"/>
      <c r="L70" s="38"/>
      <c r="M70" s="38"/>
      <c r="N70" s="38"/>
      <c r="O70" s="38"/>
      <c r="P70" s="38"/>
      <c r="Q70" s="38"/>
      <c r="S70" t="s">
        <v>10</v>
      </c>
      <c r="T70">
        <v>60</v>
      </c>
      <c r="U70">
        <v>120</v>
      </c>
      <c r="V70">
        <v>180</v>
      </c>
      <c r="W70">
        <v>240</v>
      </c>
      <c r="X70">
        <v>300</v>
      </c>
      <c r="Y70">
        <v>360</v>
      </c>
      <c r="Z70">
        <v>420</v>
      </c>
      <c r="AA70">
        <v>480</v>
      </c>
      <c r="AB70">
        <v>540</v>
      </c>
      <c r="AC70">
        <v>600</v>
      </c>
      <c r="AD70">
        <v>660</v>
      </c>
      <c r="AE70">
        <v>720</v>
      </c>
      <c r="AF70">
        <v>780</v>
      </c>
      <c r="AG70">
        <v>840</v>
      </c>
      <c r="AH70">
        <v>920</v>
      </c>
      <c r="AI70">
        <v>1000</v>
      </c>
      <c r="AJ70">
        <v>1080</v>
      </c>
      <c r="AK70">
        <v>1160</v>
      </c>
      <c r="AL70">
        <v>1280</v>
      </c>
      <c r="AM70">
        <v>1400</v>
      </c>
      <c r="AN70">
        <v>1520</v>
      </c>
      <c r="AO70">
        <v>1680</v>
      </c>
      <c r="AP70">
        <v>2000</v>
      </c>
      <c r="AQ70">
        <v>2000</v>
      </c>
      <c r="AR70">
        <v>2200</v>
      </c>
      <c r="AS70">
        <v>2400</v>
      </c>
      <c r="AT70">
        <v>2600</v>
      </c>
      <c r="AU70">
        <v>3000</v>
      </c>
      <c r="AV70">
        <v>3400</v>
      </c>
      <c r="AW70">
        <v>4000</v>
      </c>
    </row>
    <row r="71" spans="1:49" ht="14.25" x14ac:dyDescent="0.1">
      <c r="A71" t="s">
        <v>516</v>
      </c>
      <c r="B71" s="222" t="s">
        <v>517</v>
      </c>
      <c r="C71" s="223"/>
      <c r="D71" s="223"/>
      <c r="E71" s="223"/>
      <c r="F71" s="223"/>
      <c r="G71" s="223"/>
      <c r="H71" s="223"/>
      <c r="I71" s="223"/>
      <c r="K71" s="38"/>
      <c r="L71" s="38"/>
      <c r="M71" s="38"/>
      <c r="N71" s="38"/>
      <c r="O71" s="38"/>
      <c r="P71" s="38"/>
      <c r="Q71" s="38"/>
      <c r="S71" t="s">
        <v>518</v>
      </c>
      <c r="T71">
        <v>120</v>
      </c>
      <c r="U71">
        <v>240</v>
      </c>
      <c r="V71">
        <v>360</v>
      </c>
      <c r="W71">
        <v>480</v>
      </c>
      <c r="X71">
        <v>600</v>
      </c>
      <c r="Y71">
        <v>720</v>
      </c>
      <c r="Z71">
        <v>840</v>
      </c>
      <c r="AA71">
        <v>960</v>
      </c>
      <c r="AB71">
        <v>1080</v>
      </c>
      <c r="AC71">
        <v>1200</v>
      </c>
      <c r="AD71">
        <v>1320</v>
      </c>
      <c r="AE71">
        <v>1440</v>
      </c>
      <c r="AF71">
        <v>1560</v>
      </c>
      <c r="AG71">
        <v>1680</v>
      </c>
      <c r="AH71">
        <v>1840</v>
      </c>
      <c r="AI71">
        <v>2000</v>
      </c>
      <c r="AJ71">
        <v>2160</v>
      </c>
      <c r="AK71">
        <v>2320</v>
      </c>
      <c r="AL71">
        <v>2560</v>
      </c>
      <c r="AM71">
        <v>2800</v>
      </c>
      <c r="AN71">
        <v>3040</v>
      </c>
      <c r="AO71">
        <v>3360</v>
      </c>
      <c r="AP71">
        <v>4000</v>
      </c>
      <c r="AQ71">
        <v>4000</v>
      </c>
      <c r="AR71">
        <v>4400</v>
      </c>
      <c r="AS71">
        <v>4800</v>
      </c>
      <c r="AT71">
        <v>5200</v>
      </c>
      <c r="AU71">
        <v>6000</v>
      </c>
      <c r="AV71">
        <v>6800</v>
      </c>
      <c r="AW71">
        <v>8000</v>
      </c>
    </row>
    <row r="72" spans="1:49" x14ac:dyDescent="0.1">
      <c r="A72" t="s">
        <v>519</v>
      </c>
      <c r="B72" s="222" t="s">
        <v>520</v>
      </c>
      <c r="C72" s="223"/>
      <c r="D72" s="223"/>
      <c r="E72" s="223"/>
      <c r="F72" s="223"/>
      <c r="G72" s="223"/>
      <c r="H72" s="223"/>
      <c r="I72" s="223"/>
    </row>
    <row r="73" spans="1:49" x14ac:dyDescent="0.1">
      <c r="A73" t="s">
        <v>521</v>
      </c>
      <c r="B73" s="222" t="s">
        <v>522</v>
      </c>
      <c r="C73" s="223"/>
      <c r="D73" s="223"/>
      <c r="E73" s="223"/>
      <c r="F73" s="223"/>
      <c r="G73" s="223"/>
      <c r="H73" s="223"/>
      <c r="I73" s="223"/>
      <c r="S73" t="s">
        <v>185</v>
      </c>
      <c r="T73" t="e">
        <f>VLOOKUP(角色!M6,S65:AW71,1+主要情况!D5,0)*IF(装备!G27="是有力体型",2,1)</f>
        <v>#N/A</v>
      </c>
    </row>
    <row r="74" spans="1:49" x14ac:dyDescent="0.1">
      <c r="A74" t="s">
        <v>523</v>
      </c>
      <c r="B74" s="222" t="s">
        <v>524</v>
      </c>
      <c r="C74" s="223"/>
      <c r="D74" s="223"/>
      <c r="E74" s="223"/>
      <c r="F74" s="223"/>
      <c r="G74" s="223"/>
      <c r="H74" s="223"/>
      <c r="I74" s="223"/>
    </row>
    <row r="75" spans="1:49" x14ac:dyDescent="0.1">
      <c r="A75" t="s">
        <v>525</v>
      </c>
      <c r="B75" s="222" t="s">
        <v>526</v>
      </c>
      <c r="C75" s="223"/>
      <c r="D75" s="223"/>
      <c r="E75" s="223"/>
      <c r="F75" s="223"/>
      <c r="G75" s="223"/>
      <c r="H75" s="223"/>
      <c r="I75" s="223"/>
    </row>
    <row r="76" spans="1:49" x14ac:dyDescent="0.1">
      <c r="A76" t="s">
        <v>527</v>
      </c>
      <c r="B76" s="222" t="s">
        <v>528</v>
      </c>
      <c r="C76" s="223"/>
      <c r="D76" s="223"/>
      <c r="E76" s="223"/>
      <c r="F76" s="223"/>
      <c r="G76" s="223"/>
      <c r="H76" s="223"/>
      <c r="I76" s="223"/>
    </row>
    <row r="77" spans="1:49" x14ac:dyDescent="0.1">
      <c r="A77" t="s">
        <v>529</v>
      </c>
      <c r="B77" s="222" t="s">
        <v>530</v>
      </c>
      <c r="C77" s="223"/>
      <c r="D77" s="223"/>
      <c r="E77" s="223"/>
      <c r="F77" s="223"/>
      <c r="G77" s="223"/>
      <c r="H77" s="223"/>
      <c r="I77" s="223"/>
    </row>
    <row r="78" spans="1:49" x14ac:dyDescent="0.1">
      <c r="A78" t="s">
        <v>531</v>
      </c>
      <c r="B78" s="222" t="s">
        <v>532</v>
      </c>
      <c r="C78" s="223"/>
      <c r="D78" s="223"/>
      <c r="E78" s="223"/>
      <c r="F78" s="223"/>
      <c r="G78" s="223"/>
      <c r="H78" s="223"/>
      <c r="I78" s="223"/>
    </row>
    <row r="79" spans="1:49" x14ac:dyDescent="0.1">
      <c r="A79" t="s">
        <v>533</v>
      </c>
      <c r="B79" s="222" t="s">
        <v>534</v>
      </c>
      <c r="C79" s="223"/>
      <c r="D79" s="223"/>
      <c r="E79" s="223"/>
      <c r="F79" s="223"/>
      <c r="G79" s="223"/>
      <c r="H79" s="223"/>
      <c r="I79" s="223"/>
    </row>
    <row r="80" spans="1:49" x14ac:dyDescent="0.1">
      <c r="A80" t="s">
        <v>535</v>
      </c>
      <c r="B80" s="222" t="s">
        <v>536</v>
      </c>
      <c r="C80" s="223"/>
      <c r="D80" s="223"/>
      <c r="E80" s="223"/>
      <c r="F80" s="223"/>
      <c r="G80" s="223"/>
      <c r="H80" s="223"/>
      <c r="I80" s="223"/>
    </row>
    <row r="81" spans="1:20" x14ac:dyDescent="0.1">
      <c r="A81" t="s">
        <v>537</v>
      </c>
      <c r="B81" s="222" t="s">
        <v>538</v>
      </c>
      <c r="C81" s="223"/>
      <c r="D81" s="223"/>
      <c r="E81" s="223"/>
      <c r="F81" s="223"/>
      <c r="G81" s="223"/>
      <c r="H81" s="223"/>
      <c r="I81" s="223"/>
    </row>
    <row r="82" spans="1:20" x14ac:dyDescent="0.1">
      <c r="A82" t="s">
        <v>539</v>
      </c>
      <c r="B82" s="222" t="s">
        <v>540</v>
      </c>
      <c r="C82" s="223"/>
      <c r="D82" s="223"/>
      <c r="E82" s="223"/>
      <c r="F82" s="223"/>
      <c r="G82" s="223"/>
      <c r="H82" s="223"/>
      <c r="I82" s="223"/>
    </row>
    <row r="83" spans="1:20" x14ac:dyDescent="0.1">
      <c r="A83" t="s">
        <v>541</v>
      </c>
      <c r="B83" s="222" t="s">
        <v>542</v>
      </c>
      <c r="C83" s="223"/>
      <c r="D83" s="223"/>
      <c r="E83" s="223"/>
      <c r="F83" s="223"/>
      <c r="G83" s="223"/>
      <c r="H83" s="223"/>
      <c r="I83" s="223"/>
    </row>
    <row r="84" spans="1:20" x14ac:dyDescent="0.1">
      <c r="A84" t="s">
        <v>543</v>
      </c>
      <c r="B84" s="222" t="s">
        <v>544</v>
      </c>
      <c r="C84" s="223"/>
      <c r="D84" s="223"/>
      <c r="E84" s="223"/>
      <c r="F84" s="223"/>
      <c r="G84" s="223"/>
      <c r="H84" s="223"/>
      <c r="I84" s="223"/>
    </row>
    <row r="85" spans="1:20" x14ac:dyDescent="0.1">
      <c r="A85" t="s">
        <v>545</v>
      </c>
      <c r="B85" s="222" t="s">
        <v>546</v>
      </c>
      <c r="C85" s="223"/>
      <c r="D85" s="223"/>
      <c r="E85" s="223"/>
      <c r="F85" s="223"/>
      <c r="G85" s="223"/>
      <c r="H85" s="223"/>
      <c r="I85" s="223"/>
    </row>
    <row r="86" spans="1:20" ht="26.25" x14ac:dyDescent="0.1">
      <c r="A86" t="s">
        <v>547</v>
      </c>
      <c r="B86" s="222" t="s">
        <v>548</v>
      </c>
      <c r="C86" s="223"/>
      <c r="D86" s="223"/>
      <c r="E86" s="223"/>
      <c r="F86" s="223"/>
      <c r="G86" s="223"/>
      <c r="H86" s="223"/>
      <c r="I86" s="223"/>
      <c r="K86" s="41"/>
      <c r="L86" s="42" t="s">
        <v>549</v>
      </c>
      <c r="M86" s="42" t="s">
        <v>550</v>
      </c>
      <c r="N86" s="42" t="s">
        <v>551</v>
      </c>
      <c r="O86" s="42" t="s">
        <v>552</v>
      </c>
      <c r="Q86" s="42" t="s">
        <v>553</v>
      </c>
      <c r="R86" s="42" t="s">
        <v>554</v>
      </c>
      <c r="S86" s="42" t="s">
        <v>555</v>
      </c>
      <c r="T86" s="42" t="s">
        <v>556</v>
      </c>
    </row>
    <row r="87" spans="1:20" ht="14.25" x14ac:dyDescent="0.1">
      <c r="A87" t="s">
        <v>557</v>
      </c>
      <c r="B87" s="222" t="s">
        <v>558</v>
      </c>
      <c r="C87" s="223"/>
      <c r="D87" s="223"/>
      <c r="E87" s="223"/>
      <c r="F87" s="223"/>
      <c r="G87" s="223"/>
      <c r="H87" s="223"/>
      <c r="I87" s="223"/>
      <c r="K87" s="43" t="s">
        <v>559</v>
      </c>
      <c r="L87" s="43">
        <v>1</v>
      </c>
      <c r="M87" s="43">
        <v>3</v>
      </c>
      <c r="N87" s="43">
        <v>4</v>
      </c>
      <c r="O87" s="44">
        <v>20</v>
      </c>
      <c r="Q87" s="43" t="s">
        <v>560</v>
      </c>
      <c r="R87" s="43">
        <v>0.3</v>
      </c>
      <c r="S87" s="43">
        <v>0.4</v>
      </c>
      <c r="T87" s="43">
        <v>0.6</v>
      </c>
    </row>
    <row r="88" spans="1:20" ht="14.25" x14ac:dyDescent="0.1">
      <c r="A88" t="s">
        <v>561</v>
      </c>
      <c r="B88" s="222" t="s">
        <v>562</v>
      </c>
      <c r="C88" s="223"/>
      <c r="D88" s="223"/>
      <c r="E88" s="223"/>
      <c r="F88" s="223"/>
      <c r="G88" s="223"/>
      <c r="H88" s="223"/>
      <c r="I88" s="223"/>
      <c r="K88" s="43" t="s">
        <v>563</v>
      </c>
      <c r="L88" s="43">
        <v>0</v>
      </c>
      <c r="M88" s="43">
        <v>3</v>
      </c>
      <c r="N88" s="43">
        <v>5</v>
      </c>
      <c r="O88" s="44">
        <v>20</v>
      </c>
      <c r="Q88" s="43" t="s">
        <v>564</v>
      </c>
      <c r="R88" s="43">
        <v>0</v>
      </c>
      <c r="S88" s="43">
        <v>0.5</v>
      </c>
      <c r="T88" s="43">
        <v>0</v>
      </c>
    </row>
    <row r="89" spans="1:20" ht="14.25" x14ac:dyDescent="0.1">
      <c r="A89" t="s">
        <v>565</v>
      </c>
      <c r="B89" s="222" t="s">
        <v>566</v>
      </c>
      <c r="C89" s="223"/>
      <c r="D89" s="223"/>
      <c r="E89" s="223"/>
      <c r="F89" s="223"/>
      <c r="G89" s="223"/>
      <c r="H89" s="223"/>
      <c r="I89" s="223"/>
      <c r="K89" s="43" t="s">
        <v>567</v>
      </c>
      <c r="L89" s="43">
        <v>1</v>
      </c>
      <c r="M89" s="43">
        <v>1</v>
      </c>
      <c r="N89" s="43">
        <v>6</v>
      </c>
      <c r="O89" s="44">
        <v>20</v>
      </c>
      <c r="Q89" s="43" t="s">
        <v>568</v>
      </c>
      <c r="R89" s="43">
        <v>0</v>
      </c>
      <c r="S89" s="43">
        <v>0.7</v>
      </c>
      <c r="T89" s="43">
        <v>0.3</v>
      </c>
    </row>
    <row r="90" spans="1:20" ht="26.25" x14ac:dyDescent="0.1">
      <c r="A90" t="s">
        <v>569</v>
      </c>
      <c r="B90" s="222" t="s">
        <v>570</v>
      </c>
      <c r="C90" s="223"/>
      <c r="D90" s="223"/>
      <c r="E90" s="223"/>
      <c r="F90" s="223"/>
      <c r="G90" s="223"/>
      <c r="H90" s="223"/>
      <c r="I90" s="223"/>
      <c r="K90" s="43" t="s">
        <v>571</v>
      </c>
      <c r="L90" s="43">
        <v>3</v>
      </c>
      <c r="M90" s="43">
        <v>3</v>
      </c>
      <c r="N90" s="43">
        <v>2</v>
      </c>
      <c r="O90" s="44">
        <v>20</v>
      </c>
      <c r="Q90" s="43" t="s">
        <v>572</v>
      </c>
      <c r="R90" s="43">
        <v>0.2</v>
      </c>
      <c r="S90" s="43">
        <v>0.6</v>
      </c>
      <c r="T90" s="43">
        <v>0.7</v>
      </c>
    </row>
    <row r="91" spans="1:20" ht="74.25" x14ac:dyDescent="0.1">
      <c r="A91" t="s">
        <v>573</v>
      </c>
      <c r="B91" s="222" t="s">
        <v>574</v>
      </c>
      <c r="C91" s="223"/>
      <c r="D91" s="223"/>
      <c r="E91" s="223"/>
      <c r="F91" s="223"/>
      <c r="G91" s="223"/>
      <c r="H91" s="223"/>
      <c r="I91" s="223"/>
      <c r="K91" s="43" t="s">
        <v>575</v>
      </c>
      <c r="L91" s="43">
        <v>1</v>
      </c>
      <c r="M91" s="43">
        <v>6</v>
      </c>
      <c r="N91" s="43">
        <v>1</v>
      </c>
      <c r="O91" s="44">
        <v>20</v>
      </c>
      <c r="Q91" s="43" t="s">
        <v>576</v>
      </c>
      <c r="R91" s="43">
        <v>1.2</v>
      </c>
      <c r="S91" s="43">
        <v>0</v>
      </c>
      <c r="T91" s="43">
        <v>0.3</v>
      </c>
    </row>
    <row r="92" spans="1:20" ht="74.25" x14ac:dyDescent="0.1">
      <c r="A92" t="s">
        <v>577</v>
      </c>
      <c r="B92" s="222" t="s">
        <v>578</v>
      </c>
      <c r="C92" s="223"/>
      <c r="D92" s="223"/>
      <c r="E92" s="223"/>
      <c r="F92" s="223"/>
      <c r="G92" s="223"/>
      <c r="H92" s="223"/>
      <c r="I92" s="223"/>
      <c r="K92" s="43" t="s">
        <v>579</v>
      </c>
      <c r="L92" s="43">
        <v>6</v>
      </c>
      <c r="M92" s="43">
        <v>1</v>
      </c>
      <c r="N92" s="43">
        <v>1</v>
      </c>
      <c r="O92" s="44">
        <v>20</v>
      </c>
      <c r="Q92" s="43" t="s">
        <v>580</v>
      </c>
      <c r="R92" s="43">
        <v>0.2</v>
      </c>
      <c r="S92" s="43">
        <v>0.3</v>
      </c>
      <c r="T92" s="43">
        <v>0.2</v>
      </c>
    </row>
    <row r="93" spans="1:20" ht="50.25" x14ac:dyDescent="0.1">
      <c r="A93" t="s">
        <v>581</v>
      </c>
      <c r="B93" s="222" t="s">
        <v>582</v>
      </c>
      <c r="C93" s="223"/>
      <c r="D93" s="223"/>
      <c r="E93" s="223"/>
      <c r="F93" s="223"/>
      <c r="G93" s="223"/>
      <c r="H93" s="223"/>
      <c r="I93" s="223"/>
      <c r="K93" s="43" t="s">
        <v>583</v>
      </c>
      <c r="L93" s="43">
        <v>2</v>
      </c>
      <c r="M93" s="43">
        <v>4</v>
      </c>
      <c r="N93" s="43">
        <v>2</v>
      </c>
      <c r="O93" s="44">
        <v>20</v>
      </c>
      <c r="Q93" s="43" t="s">
        <v>584</v>
      </c>
      <c r="R93" s="43">
        <v>0.5</v>
      </c>
      <c r="S93" s="43">
        <v>1</v>
      </c>
      <c r="T93" s="43">
        <v>1</v>
      </c>
    </row>
    <row r="94" spans="1:20" ht="50.25" x14ac:dyDescent="0.1">
      <c r="A94" t="s">
        <v>585</v>
      </c>
      <c r="B94" s="222" t="s">
        <v>586</v>
      </c>
      <c r="C94" s="223"/>
      <c r="D94" s="223"/>
      <c r="E94" s="223"/>
      <c r="F94" s="223"/>
      <c r="G94" s="223"/>
      <c r="H94" s="223"/>
      <c r="I94" s="223"/>
      <c r="K94" s="43" t="s">
        <v>587</v>
      </c>
      <c r="L94" s="43">
        <v>4</v>
      </c>
      <c r="M94" s="43">
        <v>2</v>
      </c>
      <c r="N94" s="43">
        <v>2</v>
      </c>
      <c r="O94" s="44">
        <v>20</v>
      </c>
      <c r="Q94" s="43" t="s">
        <v>588</v>
      </c>
      <c r="R94" s="43">
        <v>0.7</v>
      </c>
      <c r="S94" s="43">
        <v>0</v>
      </c>
      <c r="T94" s="43">
        <v>0.3</v>
      </c>
    </row>
    <row r="95" spans="1:20" ht="14.25" x14ac:dyDescent="0.1">
      <c r="A95" t="s">
        <v>589</v>
      </c>
      <c r="B95" s="222" t="s">
        <v>590</v>
      </c>
      <c r="C95" s="223"/>
      <c r="D95" s="223"/>
      <c r="E95" s="223"/>
      <c r="F95" s="223"/>
      <c r="G95" s="223"/>
      <c r="H95" s="223"/>
      <c r="I95" s="223"/>
      <c r="K95" s="43" t="s">
        <v>591</v>
      </c>
      <c r="L95" s="43">
        <v>3</v>
      </c>
      <c r="M95" s="43">
        <v>1</v>
      </c>
      <c r="N95" s="43">
        <v>4</v>
      </c>
      <c r="O95" s="45">
        <v>20</v>
      </c>
      <c r="Q95" s="43" t="s">
        <v>592</v>
      </c>
      <c r="R95" s="43">
        <v>0.4</v>
      </c>
      <c r="S95" s="43">
        <v>0.3</v>
      </c>
      <c r="T95" s="43">
        <v>0.3</v>
      </c>
    </row>
    <row r="96" spans="1:20" ht="14.25" x14ac:dyDescent="0.1">
      <c r="A96" t="s">
        <v>593</v>
      </c>
      <c r="B96" s="222" t="s">
        <v>594</v>
      </c>
      <c r="C96" s="223"/>
      <c r="D96" s="223"/>
      <c r="E96" s="223"/>
      <c r="F96" s="223"/>
      <c r="G96" s="223"/>
      <c r="H96" s="223"/>
      <c r="I96" s="223"/>
      <c r="K96" s="43" t="s">
        <v>595</v>
      </c>
      <c r="L96" s="43">
        <v>6</v>
      </c>
      <c r="M96" s="43">
        <v>2</v>
      </c>
      <c r="N96" s="43">
        <v>0</v>
      </c>
      <c r="O96" s="46">
        <v>20</v>
      </c>
      <c r="Q96" s="43" t="s">
        <v>596</v>
      </c>
      <c r="R96" s="43">
        <v>0.2</v>
      </c>
      <c r="S96" s="43">
        <v>0.6</v>
      </c>
      <c r="T96" s="43">
        <v>0.7</v>
      </c>
    </row>
    <row r="97" spans="1:20" ht="14.25" x14ac:dyDescent="0.1">
      <c r="A97" s="36" t="s">
        <v>113</v>
      </c>
      <c r="B97" s="222" t="s">
        <v>114</v>
      </c>
      <c r="C97" s="223"/>
      <c r="D97" s="223"/>
      <c r="E97" s="223"/>
      <c r="F97" s="223"/>
      <c r="G97" s="223"/>
      <c r="H97" s="223"/>
      <c r="I97" s="223"/>
      <c r="K97" s="43" t="s">
        <v>597</v>
      </c>
      <c r="L97" s="43">
        <v>5</v>
      </c>
      <c r="M97" s="43">
        <v>3</v>
      </c>
      <c r="N97" s="43">
        <v>0</v>
      </c>
      <c r="O97" s="47">
        <v>20</v>
      </c>
      <c r="Q97" s="43" t="s">
        <v>598</v>
      </c>
      <c r="R97" s="43">
        <v>0.3</v>
      </c>
      <c r="S97" s="43">
        <v>0.6</v>
      </c>
      <c r="T97" s="43">
        <v>0.3</v>
      </c>
    </row>
    <row r="98" spans="1:20" ht="26.25" x14ac:dyDescent="0.1">
      <c r="A98" t="s">
        <v>599</v>
      </c>
      <c r="B98" s="222" t="s">
        <v>600</v>
      </c>
      <c r="C98" s="223"/>
      <c r="D98" s="223"/>
      <c r="E98" s="223"/>
      <c r="F98" s="223"/>
      <c r="G98" s="223"/>
      <c r="H98" s="223"/>
      <c r="I98" s="223"/>
      <c r="Q98" s="43" t="s">
        <v>601</v>
      </c>
      <c r="R98" s="43">
        <v>0</v>
      </c>
      <c r="S98" s="43">
        <v>0.6</v>
      </c>
      <c r="T98" s="43">
        <v>0.2</v>
      </c>
    </row>
    <row r="99" spans="1:20" ht="14.25" x14ac:dyDescent="0.1">
      <c r="A99" t="s">
        <v>602</v>
      </c>
      <c r="B99" s="222" t="s">
        <v>603</v>
      </c>
      <c r="C99" s="223"/>
      <c r="D99" s="223"/>
      <c r="E99" s="223"/>
      <c r="F99" s="223"/>
      <c r="G99" s="223"/>
      <c r="H99" s="223"/>
      <c r="I99" s="223"/>
      <c r="Q99" s="43" t="s">
        <v>604</v>
      </c>
      <c r="R99" s="43">
        <v>0.4</v>
      </c>
      <c r="S99" s="43">
        <v>0.4</v>
      </c>
      <c r="T99" s="43">
        <v>0.4</v>
      </c>
    </row>
    <row r="100" spans="1:20" ht="14.25" x14ac:dyDescent="0.1">
      <c r="A100" t="s">
        <v>605</v>
      </c>
      <c r="B100" s="222" t="s">
        <v>606</v>
      </c>
      <c r="C100" s="223"/>
      <c r="D100" s="223"/>
      <c r="E100" s="223"/>
      <c r="F100" s="223"/>
      <c r="G100" s="223"/>
      <c r="H100" s="223"/>
      <c r="I100" s="223"/>
      <c r="Q100" s="43" t="s">
        <v>607</v>
      </c>
      <c r="R100" s="43">
        <v>0.6</v>
      </c>
      <c r="S100" s="43">
        <v>0.4</v>
      </c>
      <c r="T100" s="43">
        <v>0.2</v>
      </c>
    </row>
    <row r="101" spans="1:20" x14ac:dyDescent="0.1">
      <c r="A101" t="s">
        <v>608</v>
      </c>
      <c r="B101" s="222" t="s">
        <v>609</v>
      </c>
      <c r="C101" s="223"/>
      <c r="D101" s="223"/>
      <c r="E101" s="223"/>
      <c r="F101" s="223"/>
      <c r="G101" s="223"/>
      <c r="H101" s="223"/>
      <c r="I101" s="223"/>
    </row>
    <row r="102" spans="1:20" x14ac:dyDescent="0.1">
      <c r="A102" t="s">
        <v>610</v>
      </c>
      <c r="B102" s="222" t="s">
        <v>611</v>
      </c>
      <c r="C102" s="223"/>
      <c r="D102" s="223"/>
      <c r="E102" s="223"/>
      <c r="F102" s="223"/>
      <c r="G102" s="223"/>
      <c r="H102" s="223"/>
      <c r="I102" s="223"/>
    </row>
    <row r="103" spans="1:20" x14ac:dyDescent="0.1">
      <c r="A103" t="s">
        <v>612</v>
      </c>
      <c r="B103" s="222" t="s">
        <v>613</v>
      </c>
      <c r="C103" s="223"/>
      <c r="D103" s="223"/>
      <c r="E103" s="223"/>
      <c r="F103" s="223"/>
      <c r="G103" s="223"/>
      <c r="H103" s="223"/>
      <c r="I103" s="223"/>
    </row>
    <row r="104" spans="1:20" x14ac:dyDescent="0.1">
      <c r="A104" t="s">
        <v>614</v>
      </c>
      <c r="B104" s="222" t="s">
        <v>615</v>
      </c>
      <c r="C104" s="223"/>
      <c r="D104" s="223"/>
      <c r="E104" s="223"/>
      <c r="F104" s="223"/>
      <c r="G104" s="223"/>
      <c r="H104" s="223"/>
      <c r="I104" s="223"/>
    </row>
    <row r="105" spans="1:20" x14ac:dyDescent="0.1">
      <c r="A105" t="s">
        <v>616</v>
      </c>
      <c r="B105" s="222" t="s">
        <v>617</v>
      </c>
      <c r="C105" s="223"/>
      <c r="D105" s="223"/>
      <c r="E105" s="223"/>
      <c r="F105" s="223"/>
      <c r="G105" s="223"/>
      <c r="H105" s="223"/>
      <c r="I105" s="223"/>
    </row>
    <row r="106" spans="1:20" x14ac:dyDescent="0.1">
      <c r="A106" t="s">
        <v>618</v>
      </c>
      <c r="B106" s="222" t="s">
        <v>619</v>
      </c>
      <c r="C106" s="223"/>
      <c r="D106" s="223"/>
      <c r="E106" s="223"/>
      <c r="F106" s="223"/>
      <c r="G106" s="223"/>
      <c r="H106" s="223"/>
      <c r="I106" s="223"/>
    </row>
    <row r="107" spans="1:20" x14ac:dyDescent="0.1">
      <c r="A107" t="s">
        <v>620</v>
      </c>
      <c r="B107" s="222" t="s">
        <v>621</v>
      </c>
      <c r="C107" s="223"/>
      <c r="D107" s="223"/>
      <c r="E107" s="223"/>
      <c r="F107" s="223"/>
      <c r="G107" s="223"/>
      <c r="H107" s="223"/>
      <c r="I107" s="223"/>
    </row>
    <row r="108" spans="1:20" x14ac:dyDescent="0.1">
      <c r="A108" t="s">
        <v>622</v>
      </c>
      <c r="B108" s="222" t="s">
        <v>623</v>
      </c>
      <c r="C108" s="223"/>
      <c r="D108" s="223"/>
      <c r="E108" s="223"/>
      <c r="F108" s="223"/>
      <c r="G108" s="223"/>
      <c r="H108" s="223"/>
      <c r="I108" s="223"/>
    </row>
    <row r="109" spans="1:20" x14ac:dyDescent="0.1">
      <c r="A109" t="s">
        <v>624</v>
      </c>
      <c r="B109" s="222" t="s">
        <v>625</v>
      </c>
      <c r="C109" s="223"/>
      <c r="D109" s="223"/>
      <c r="E109" s="223"/>
      <c r="F109" s="223"/>
      <c r="G109" s="223"/>
      <c r="H109" s="223"/>
      <c r="I109" s="223"/>
    </row>
    <row r="110" spans="1:20" x14ac:dyDescent="0.1">
      <c r="A110" t="s">
        <v>626</v>
      </c>
      <c r="B110" s="222" t="s">
        <v>627</v>
      </c>
      <c r="C110" s="223"/>
      <c r="D110" s="223"/>
      <c r="E110" s="223"/>
      <c r="F110" s="223"/>
      <c r="G110" s="223"/>
      <c r="H110" s="223"/>
      <c r="I110" s="223"/>
    </row>
    <row r="111" spans="1:20" x14ac:dyDescent="0.1">
      <c r="A111" t="s">
        <v>628</v>
      </c>
      <c r="B111" s="222" t="s">
        <v>629</v>
      </c>
      <c r="C111" s="222"/>
      <c r="D111" s="222"/>
      <c r="E111" s="222"/>
      <c r="F111" s="222"/>
      <c r="G111" s="222"/>
      <c r="H111" s="222"/>
      <c r="I111" s="222"/>
    </row>
    <row r="112" spans="1:20" x14ac:dyDescent="0.1">
      <c r="A112" t="s">
        <v>630</v>
      </c>
      <c r="B112" s="222" t="s">
        <v>631</v>
      </c>
      <c r="C112" s="222"/>
      <c r="D112" s="222"/>
      <c r="E112" s="222"/>
      <c r="F112" s="222"/>
      <c r="G112" s="222"/>
      <c r="H112" s="222"/>
      <c r="I112" s="222"/>
    </row>
    <row r="113" spans="1:9" x14ac:dyDescent="0.1">
      <c r="A113" t="s">
        <v>632</v>
      </c>
      <c r="B113" s="222" t="s">
        <v>633</v>
      </c>
      <c r="C113" s="223"/>
      <c r="D113" s="223"/>
      <c r="E113" s="223"/>
      <c r="F113" s="223"/>
      <c r="G113" s="223"/>
      <c r="H113" s="223"/>
      <c r="I113" s="223"/>
    </row>
    <row r="114" spans="1:9" x14ac:dyDescent="0.1">
      <c r="A114" t="s">
        <v>634</v>
      </c>
      <c r="B114" s="222" t="s">
        <v>635</v>
      </c>
      <c r="C114" s="223"/>
      <c r="D114" s="223"/>
      <c r="E114" s="223"/>
      <c r="F114" s="223"/>
      <c r="G114" s="223"/>
      <c r="H114" s="223"/>
      <c r="I114" s="223"/>
    </row>
    <row r="115" spans="1:9" x14ac:dyDescent="0.1">
      <c r="A115" t="s">
        <v>636</v>
      </c>
      <c r="B115" s="222" t="s">
        <v>637</v>
      </c>
      <c r="C115" s="223"/>
      <c r="D115" s="223"/>
      <c r="E115" s="223"/>
      <c r="F115" s="223"/>
      <c r="G115" s="223"/>
      <c r="H115" s="223"/>
      <c r="I115" s="223"/>
    </row>
    <row r="116" spans="1:9" x14ac:dyDescent="0.1">
      <c r="A116" t="s">
        <v>638</v>
      </c>
      <c r="B116" s="222" t="s">
        <v>639</v>
      </c>
      <c r="C116" s="223"/>
      <c r="D116" s="223"/>
      <c r="E116" s="223"/>
      <c r="F116" s="223"/>
      <c r="G116" s="223"/>
      <c r="H116" s="223"/>
      <c r="I116" s="223"/>
    </row>
    <row r="117" spans="1:9" x14ac:dyDescent="0.1">
      <c r="A117" t="s">
        <v>640</v>
      </c>
      <c r="B117" s="222" t="s">
        <v>641</v>
      </c>
      <c r="C117" s="223"/>
      <c r="D117" s="223"/>
      <c r="E117" s="223"/>
      <c r="F117" s="223"/>
      <c r="G117" s="223"/>
      <c r="H117" s="223"/>
      <c r="I117" s="223"/>
    </row>
    <row r="118" spans="1:9" x14ac:dyDescent="0.1">
      <c r="A118" t="s">
        <v>642</v>
      </c>
      <c r="B118" s="222" t="s">
        <v>643</v>
      </c>
      <c r="C118" s="223"/>
      <c r="D118" s="223"/>
      <c r="E118" s="223"/>
      <c r="F118" s="223"/>
      <c r="G118" s="223"/>
      <c r="H118" s="223"/>
      <c r="I118" s="223"/>
    </row>
    <row r="119" spans="1:9" x14ac:dyDescent="0.1">
      <c r="A119" t="s">
        <v>644</v>
      </c>
      <c r="B119" s="222" t="s">
        <v>645</v>
      </c>
      <c r="C119" s="223"/>
      <c r="D119" s="223"/>
      <c r="E119" s="223"/>
      <c r="F119" s="223"/>
      <c r="G119" s="223"/>
      <c r="H119" s="223"/>
      <c r="I119" s="223"/>
    </row>
    <row r="120" spans="1:9" x14ac:dyDescent="0.1">
      <c r="A120" t="s">
        <v>646</v>
      </c>
      <c r="B120" s="222" t="s">
        <v>647</v>
      </c>
      <c r="C120" s="223"/>
      <c r="D120" s="223"/>
      <c r="E120" s="223"/>
      <c r="F120" s="223"/>
      <c r="G120" s="223"/>
      <c r="H120" s="223"/>
      <c r="I120" s="223"/>
    </row>
    <row r="121" spans="1:9" x14ac:dyDescent="0.1">
      <c r="A121" t="s">
        <v>648</v>
      </c>
      <c r="B121" s="222" t="s">
        <v>649</v>
      </c>
      <c r="C121" s="222"/>
      <c r="D121" s="222"/>
      <c r="E121" s="222"/>
      <c r="F121" s="222"/>
      <c r="G121" s="222"/>
      <c r="H121" s="222"/>
      <c r="I121" s="222"/>
    </row>
    <row r="122" spans="1:9" x14ac:dyDescent="0.1">
      <c r="A122" t="s">
        <v>650</v>
      </c>
      <c r="B122" s="222" t="s">
        <v>651</v>
      </c>
      <c r="C122" s="222"/>
      <c r="D122" s="222"/>
      <c r="E122" s="222"/>
      <c r="F122" s="222"/>
      <c r="G122" s="222"/>
      <c r="H122" s="222"/>
      <c r="I122" s="222"/>
    </row>
    <row r="123" spans="1:9" x14ac:dyDescent="0.1">
      <c r="A123" t="s">
        <v>652</v>
      </c>
      <c r="B123" s="222" t="s">
        <v>653</v>
      </c>
      <c r="C123" s="223"/>
      <c r="D123" s="223"/>
      <c r="E123" s="223"/>
      <c r="F123" s="223"/>
      <c r="G123" s="223"/>
      <c r="H123" s="223"/>
      <c r="I123" s="223"/>
    </row>
    <row r="124" spans="1:9" x14ac:dyDescent="0.1">
      <c r="A124" t="s">
        <v>654</v>
      </c>
      <c r="B124" s="222" t="s">
        <v>655</v>
      </c>
      <c r="C124" s="223"/>
      <c r="D124" s="223"/>
      <c r="E124" s="223"/>
      <c r="F124" s="223"/>
      <c r="G124" s="223"/>
      <c r="H124" s="223"/>
      <c r="I124" s="223"/>
    </row>
    <row r="125" spans="1:9" x14ac:dyDescent="0.1">
      <c r="A125" t="s">
        <v>656</v>
      </c>
      <c r="B125" s="222" t="s">
        <v>657</v>
      </c>
      <c r="C125" s="223"/>
      <c r="D125" s="223"/>
      <c r="E125" s="223"/>
      <c r="F125" s="223"/>
      <c r="G125" s="223"/>
      <c r="H125" s="223"/>
      <c r="I125" s="223"/>
    </row>
    <row r="126" spans="1:9" x14ac:dyDescent="0.1">
      <c r="A126" t="s">
        <v>658</v>
      </c>
      <c r="B126" s="222" t="s">
        <v>659</v>
      </c>
      <c r="C126" s="223"/>
      <c r="D126" s="223"/>
      <c r="E126" s="223"/>
      <c r="F126" s="223"/>
      <c r="G126" s="223"/>
      <c r="H126" s="223"/>
      <c r="I126" s="223"/>
    </row>
    <row r="127" spans="1:9" x14ac:dyDescent="0.1">
      <c r="A127" t="s">
        <v>660</v>
      </c>
      <c r="B127" s="222" t="s">
        <v>661</v>
      </c>
      <c r="C127" s="223"/>
      <c r="D127" s="223"/>
      <c r="E127" s="223"/>
      <c r="F127" s="223"/>
      <c r="G127" s="223"/>
      <c r="H127" s="223"/>
      <c r="I127" s="223"/>
    </row>
    <row r="128" spans="1:9" x14ac:dyDescent="0.1">
      <c r="A128" t="s">
        <v>662</v>
      </c>
      <c r="B128" s="222" t="s">
        <v>663</v>
      </c>
      <c r="C128" s="223"/>
      <c r="D128" s="223"/>
      <c r="E128" s="223"/>
      <c r="F128" s="223"/>
      <c r="G128" s="223"/>
      <c r="H128" s="223"/>
      <c r="I128" s="223"/>
    </row>
    <row r="129" spans="1:9" x14ac:dyDescent="0.1">
      <c r="A129" t="s">
        <v>664</v>
      </c>
      <c r="B129" s="222" t="s">
        <v>665</v>
      </c>
      <c r="C129" s="223"/>
      <c r="D129" s="223"/>
      <c r="E129" s="223"/>
      <c r="F129" s="223"/>
      <c r="G129" s="223"/>
      <c r="H129" s="223"/>
      <c r="I129" s="223"/>
    </row>
    <row r="130" spans="1:9" x14ac:dyDescent="0.1">
      <c r="A130" t="s">
        <v>666</v>
      </c>
      <c r="B130" s="222" t="s">
        <v>667</v>
      </c>
      <c r="C130" s="223"/>
      <c r="D130" s="223"/>
      <c r="E130" s="223"/>
      <c r="F130" s="223"/>
      <c r="G130" s="223"/>
      <c r="H130" s="223"/>
      <c r="I130" s="223"/>
    </row>
    <row r="131" spans="1:9" x14ac:dyDescent="0.1">
      <c r="A131" t="s">
        <v>668</v>
      </c>
      <c r="B131" s="222" t="s">
        <v>669</v>
      </c>
      <c r="C131" s="223"/>
      <c r="D131" s="223"/>
      <c r="E131" s="223"/>
      <c r="F131" s="223"/>
      <c r="G131" s="223"/>
      <c r="H131" s="223"/>
      <c r="I131" s="223"/>
    </row>
    <row r="132" spans="1:9" x14ac:dyDescent="0.1">
      <c r="A132" t="s">
        <v>670</v>
      </c>
      <c r="B132" s="222" t="s">
        <v>671</v>
      </c>
      <c r="C132" s="223"/>
      <c r="D132" s="223"/>
      <c r="E132" s="223"/>
      <c r="F132" s="223"/>
      <c r="G132" s="223"/>
      <c r="H132" s="223"/>
      <c r="I132" s="223"/>
    </row>
    <row r="133" spans="1:9" x14ac:dyDescent="0.1">
      <c r="A133" t="s">
        <v>672</v>
      </c>
      <c r="B133" s="222" t="s">
        <v>673</v>
      </c>
      <c r="C133" s="223"/>
      <c r="D133" s="223"/>
      <c r="E133" s="223"/>
      <c r="F133" s="223"/>
      <c r="G133" s="223"/>
      <c r="H133" s="223"/>
      <c r="I133" s="223"/>
    </row>
    <row r="134" spans="1:9" x14ac:dyDescent="0.1">
      <c r="A134" t="s">
        <v>674</v>
      </c>
      <c r="B134" s="222" t="s">
        <v>675</v>
      </c>
      <c r="C134" s="223"/>
      <c r="D134" s="223"/>
      <c r="E134" s="223"/>
      <c r="F134" s="223"/>
      <c r="G134" s="223"/>
      <c r="H134" s="223"/>
      <c r="I134" s="223"/>
    </row>
    <row r="135" spans="1:9" x14ac:dyDescent="0.1">
      <c r="A135" t="s">
        <v>676</v>
      </c>
      <c r="B135" s="222" t="s">
        <v>677</v>
      </c>
      <c r="C135" s="223"/>
      <c r="D135" s="223"/>
      <c r="E135" s="223"/>
      <c r="F135" s="223"/>
      <c r="G135" s="223"/>
      <c r="H135" s="223"/>
      <c r="I135" s="223"/>
    </row>
    <row r="136" spans="1:9" x14ac:dyDescent="0.1">
      <c r="A136" t="s">
        <v>678</v>
      </c>
      <c r="B136" s="222" t="s">
        <v>679</v>
      </c>
      <c r="C136" s="223"/>
      <c r="D136" s="223"/>
      <c r="E136" s="223"/>
      <c r="F136" s="223"/>
      <c r="G136" s="223"/>
      <c r="H136" s="223"/>
      <c r="I136" s="223"/>
    </row>
    <row r="137" spans="1:9" x14ac:dyDescent="0.1">
      <c r="A137" t="s">
        <v>680</v>
      </c>
      <c r="B137" s="222" t="s">
        <v>681</v>
      </c>
      <c r="C137" s="223"/>
      <c r="D137" s="223"/>
      <c r="E137" s="223"/>
      <c r="F137" s="223"/>
      <c r="G137" s="223"/>
      <c r="H137" s="223"/>
      <c r="I137" s="223"/>
    </row>
    <row r="138" spans="1:9" x14ac:dyDescent="0.1">
      <c r="A138" t="s">
        <v>682</v>
      </c>
      <c r="B138" s="222" t="s">
        <v>683</v>
      </c>
      <c r="C138" s="223"/>
      <c r="D138" s="223"/>
      <c r="E138" s="223"/>
      <c r="F138" s="223"/>
      <c r="G138" s="223"/>
      <c r="H138" s="223"/>
      <c r="I138" s="223"/>
    </row>
    <row r="139" spans="1:9" x14ac:dyDescent="0.1">
      <c r="A139" t="s">
        <v>684</v>
      </c>
      <c r="B139" s="222" t="s">
        <v>685</v>
      </c>
      <c r="C139" s="223"/>
      <c r="D139" s="223"/>
      <c r="E139" s="223"/>
      <c r="F139" s="223"/>
      <c r="G139" s="223"/>
      <c r="H139" s="223"/>
      <c r="I139" s="223"/>
    </row>
    <row r="140" spans="1:9" x14ac:dyDescent="0.1">
      <c r="A140" t="s">
        <v>686</v>
      </c>
      <c r="B140" s="222" t="s">
        <v>687</v>
      </c>
      <c r="C140" s="223"/>
      <c r="D140" s="223"/>
      <c r="E140" s="223"/>
      <c r="F140" s="223"/>
      <c r="G140" s="223"/>
      <c r="H140" s="223"/>
      <c r="I140" s="223"/>
    </row>
    <row r="141" spans="1:9" x14ac:dyDescent="0.1">
      <c r="A141" t="s">
        <v>688</v>
      </c>
      <c r="B141" s="222" t="s">
        <v>689</v>
      </c>
      <c r="C141" s="223"/>
      <c r="D141" s="223"/>
      <c r="E141" s="223"/>
      <c r="F141" s="223"/>
      <c r="G141" s="223"/>
      <c r="H141" s="223"/>
      <c r="I141" s="223"/>
    </row>
    <row r="142" spans="1:9" x14ac:dyDescent="0.1">
      <c r="A142" t="s">
        <v>690</v>
      </c>
      <c r="B142" s="222" t="s">
        <v>691</v>
      </c>
      <c r="C142" s="223"/>
      <c r="D142" s="223"/>
      <c r="E142" s="223"/>
      <c r="F142" s="223"/>
      <c r="G142" s="223"/>
      <c r="H142" s="223"/>
      <c r="I142" s="223"/>
    </row>
    <row r="143" spans="1:9" x14ac:dyDescent="0.1">
      <c r="A143" t="s">
        <v>692</v>
      </c>
      <c r="B143" s="222" t="s">
        <v>693</v>
      </c>
      <c r="C143" s="223"/>
      <c r="D143" s="223"/>
      <c r="E143" s="223"/>
      <c r="F143" s="223"/>
      <c r="G143" s="223"/>
      <c r="H143" s="223"/>
      <c r="I143" s="223"/>
    </row>
    <row r="144" spans="1:9" x14ac:dyDescent="0.1">
      <c r="A144" s="36" t="s">
        <v>694</v>
      </c>
      <c r="B144" s="222" t="s">
        <v>695</v>
      </c>
      <c r="C144" s="222"/>
      <c r="D144" s="222"/>
      <c r="E144" s="222"/>
      <c r="F144" s="222"/>
      <c r="G144" s="222"/>
      <c r="H144" s="222"/>
      <c r="I144" s="222"/>
    </row>
    <row r="145" spans="1:9" x14ac:dyDescent="0.1">
      <c r="A145" s="36" t="s">
        <v>696</v>
      </c>
      <c r="B145" s="222" t="s">
        <v>697</v>
      </c>
      <c r="C145" s="222"/>
      <c r="D145" s="222"/>
      <c r="E145" s="222"/>
      <c r="F145" s="222"/>
      <c r="G145" s="222"/>
      <c r="H145" s="222"/>
      <c r="I145" s="222"/>
    </row>
    <row r="146" spans="1:9" x14ac:dyDescent="0.1">
      <c r="A146" s="36" t="s">
        <v>698</v>
      </c>
      <c r="B146" s="222" t="s">
        <v>699</v>
      </c>
      <c r="C146" s="223"/>
      <c r="D146" s="223"/>
      <c r="E146" s="223"/>
      <c r="F146" s="223"/>
      <c r="G146" s="223"/>
      <c r="H146" s="223"/>
      <c r="I146" s="223"/>
    </row>
    <row r="147" spans="1:9" x14ac:dyDescent="0.1">
      <c r="A147" t="s">
        <v>700</v>
      </c>
      <c r="B147" s="222" t="s">
        <v>701</v>
      </c>
      <c r="C147" s="223"/>
      <c r="D147" s="223"/>
      <c r="E147" s="223"/>
      <c r="F147" s="223"/>
      <c r="G147" s="223"/>
      <c r="H147" s="223"/>
      <c r="I147" s="223"/>
    </row>
    <row r="148" spans="1:9" x14ac:dyDescent="0.1">
      <c r="A148" t="s">
        <v>702</v>
      </c>
      <c r="B148" s="222" t="s">
        <v>703</v>
      </c>
      <c r="C148" s="223"/>
      <c r="D148" s="223"/>
      <c r="E148" s="223"/>
      <c r="F148" s="223"/>
      <c r="G148" s="223"/>
      <c r="H148" s="223"/>
      <c r="I148" s="223"/>
    </row>
    <row r="149" spans="1:9" x14ac:dyDescent="0.1">
      <c r="A149" t="s">
        <v>704</v>
      </c>
      <c r="B149" s="222" t="s">
        <v>705</v>
      </c>
      <c r="C149" s="223"/>
      <c r="D149" s="223"/>
      <c r="E149" s="223"/>
      <c r="F149" s="223"/>
      <c r="G149" s="223"/>
      <c r="H149" s="223"/>
      <c r="I149" s="223"/>
    </row>
    <row r="150" spans="1:9" x14ac:dyDescent="0.1">
      <c r="A150" t="s">
        <v>706</v>
      </c>
      <c r="B150" s="222" t="s">
        <v>707</v>
      </c>
      <c r="C150" s="223"/>
      <c r="D150" s="223"/>
      <c r="E150" s="223"/>
      <c r="F150" s="223"/>
      <c r="G150" s="223"/>
      <c r="H150" s="223"/>
      <c r="I150" s="223"/>
    </row>
    <row r="151" spans="1:9" x14ac:dyDescent="0.1">
      <c r="A151" t="s">
        <v>708</v>
      </c>
      <c r="B151" s="222" t="s">
        <v>709</v>
      </c>
      <c r="C151" s="223"/>
      <c r="D151" s="223"/>
      <c r="E151" s="223"/>
      <c r="F151" s="223"/>
      <c r="G151" s="223"/>
      <c r="H151" s="223"/>
      <c r="I151" s="223"/>
    </row>
    <row r="152" spans="1:9" x14ac:dyDescent="0.1">
      <c r="A152" t="s">
        <v>710</v>
      </c>
      <c r="B152" s="222" t="s">
        <v>711</v>
      </c>
      <c r="C152" s="223"/>
      <c r="D152" s="223"/>
      <c r="E152" s="223"/>
      <c r="F152" s="223"/>
      <c r="G152" s="223"/>
      <c r="H152" s="223"/>
      <c r="I152" s="223"/>
    </row>
    <row r="153" spans="1:9" x14ac:dyDescent="0.1">
      <c r="A153" t="s">
        <v>712</v>
      </c>
      <c r="B153" s="222" t="s">
        <v>713</v>
      </c>
      <c r="C153" s="223"/>
      <c r="D153" s="223"/>
      <c r="E153" s="223"/>
      <c r="F153" s="223"/>
      <c r="G153" s="223"/>
      <c r="H153" s="223"/>
      <c r="I153" s="223"/>
    </row>
    <row r="154" spans="1:9" x14ac:dyDescent="0.1">
      <c r="A154" t="s">
        <v>714</v>
      </c>
      <c r="B154" s="222" t="s">
        <v>715</v>
      </c>
      <c r="C154" s="223"/>
      <c r="D154" s="223"/>
      <c r="E154" s="223"/>
      <c r="F154" s="223"/>
      <c r="G154" s="223"/>
      <c r="H154" s="223"/>
      <c r="I154" s="223"/>
    </row>
    <row r="155" spans="1:9" x14ac:dyDescent="0.1">
      <c r="A155" t="s">
        <v>716</v>
      </c>
      <c r="B155" s="222" t="s">
        <v>717</v>
      </c>
      <c r="C155" s="223"/>
      <c r="D155" s="223"/>
      <c r="E155" s="223"/>
      <c r="F155" s="223"/>
      <c r="G155" s="223"/>
      <c r="H155" s="223"/>
      <c r="I155" s="223"/>
    </row>
    <row r="156" spans="1:9" x14ac:dyDescent="0.1">
      <c r="A156" t="s">
        <v>718</v>
      </c>
      <c r="B156" s="222" t="s">
        <v>719</v>
      </c>
      <c r="C156" s="223"/>
      <c r="D156" s="223"/>
      <c r="E156" s="223"/>
      <c r="F156" s="223"/>
      <c r="G156" s="223"/>
      <c r="H156" s="223"/>
      <c r="I156" s="223"/>
    </row>
    <row r="157" spans="1:9" x14ac:dyDescent="0.1">
      <c r="A157" t="s">
        <v>720</v>
      </c>
      <c r="B157" s="222" t="s">
        <v>721</v>
      </c>
      <c r="C157" s="223"/>
      <c r="D157" s="223"/>
      <c r="E157" s="223"/>
      <c r="F157" s="223"/>
      <c r="G157" s="223"/>
      <c r="H157" s="223"/>
      <c r="I157" s="223"/>
    </row>
    <row r="158" spans="1:9" x14ac:dyDescent="0.1">
      <c r="A158" t="s">
        <v>722</v>
      </c>
      <c r="B158" s="222" t="s">
        <v>723</v>
      </c>
      <c r="C158" s="223"/>
      <c r="D158" s="223"/>
      <c r="E158" s="223"/>
      <c r="F158" s="223"/>
      <c r="G158" s="223"/>
      <c r="H158" s="223"/>
      <c r="I158" s="223"/>
    </row>
    <row r="159" spans="1:9" x14ac:dyDescent="0.1">
      <c r="A159" t="s">
        <v>724</v>
      </c>
      <c r="B159" s="222" t="s">
        <v>725</v>
      </c>
      <c r="C159" s="223"/>
      <c r="D159" s="223"/>
      <c r="E159" s="223"/>
      <c r="F159" s="223"/>
      <c r="G159" s="223"/>
      <c r="H159" s="223"/>
      <c r="I159" s="223"/>
    </row>
    <row r="160" spans="1:9" x14ac:dyDescent="0.1">
      <c r="A160" t="s">
        <v>726</v>
      </c>
      <c r="B160" s="222" t="s">
        <v>727</v>
      </c>
      <c r="C160" s="223"/>
      <c r="D160" s="223"/>
      <c r="E160" s="223"/>
      <c r="F160" s="223"/>
      <c r="G160" s="223"/>
      <c r="H160" s="223"/>
      <c r="I160" s="223"/>
    </row>
    <row r="161" spans="1:9" x14ac:dyDescent="0.1">
      <c r="A161" t="s">
        <v>728</v>
      </c>
      <c r="B161" s="222" t="s">
        <v>729</v>
      </c>
      <c r="C161" s="223"/>
      <c r="D161" s="223"/>
      <c r="E161" s="223"/>
      <c r="F161" s="223"/>
      <c r="G161" s="223"/>
      <c r="H161" s="223"/>
      <c r="I161" s="223"/>
    </row>
    <row r="162" spans="1:9" x14ac:dyDescent="0.1">
      <c r="A162" t="s">
        <v>730</v>
      </c>
      <c r="B162" s="222" t="s">
        <v>731</v>
      </c>
      <c r="C162" s="223"/>
      <c r="D162" s="223"/>
      <c r="E162" s="223"/>
      <c r="F162" s="223"/>
      <c r="G162" s="223"/>
      <c r="H162" s="223"/>
      <c r="I162" s="223"/>
    </row>
    <row r="163" spans="1:9" x14ac:dyDescent="0.1">
      <c r="A163" t="s">
        <v>732</v>
      </c>
      <c r="B163" s="222" t="s">
        <v>733</v>
      </c>
      <c r="C163" s="223"/>
      <c r="D163" s="223"/>
      <c r="E163" s="223"/>
      <c r="F163" s="223"/>
      <c r="G163" s="223"/>
      <c r="H163" s="223"/>
      <c r="I163" s="223"/>
    </row>
    <row r="164" spans="1:9" x14ac:dyDescent="0.1">
      <c r="A164" t="s">
        <v>734</v>
      </c>
      <c r="B164" s="222" t="s">
        <v>735</v>
      </c>
      <c r="C164" s="223"/>
      <c r="D164" s="223"/>
      <c r="E164" s="223"/>
      <c r="F164" s="223"/>
      <c r="G164" s="223"/>
      <c r="H164" s="223"/>
      <c r="I164" s="223"/>
    </row>
    <row r="165" spans="1:9" x14ac:dyDescent="0.1">
      <c r="A165" t="s">
        <v>736</v>
      </c>
      <c r="B165" s="222" t="s">
        <v>737</v>
      </c>
      <c r="C165" s="223"/>
      <c r="D165" s="223"/>
      <c r="E165" s="223"/>
      <c r="F165" s="223"/>
      <c r="G165" s="223"/>
      <c r="H165" s="223"/>
      <c r="I165" s="223"/>
    </row>
    <row r="166" spans="1:9" x14ac:dyDescent="0.1">
      <c r="A166" t="s">
        <v>738</v>
      </c>
      <c r="B166" s="222" t="s">
        <v>739</v>
      </c>
      <c r="C166" s="223"/>
      <c r="D166" s="223"/>
      <c r="E166" s="223"/>
      <c r="F166" s="223"/>
      <c r="G166" s="223"/>
      <c r="H166" s="223"/>
      <c r="I166" s="223"/>
    </row>
    <row r="167" spans="1:9" x14ac:dyDescent="0.1">
      <c r="A167" t="s">
        <v>740</v>
      </c>
      <c r="B167" s="222" t="s">
        <v>741</v>
      </c>
      <c r="C167" s="223"/>
      <c r="D167" s="223"/>
      <c r="E167" s="223"/>
      <c r="F167" s="223"/>
      <c r="G167" s="223"/>
      <c r="H167" s="223"/>
      <c r="I167" s="223"/>
    </row>
    <row r="168" spans="1:9" x14ac:dyDescent="0.1">
      <c r="A168" t="s">
        <v>742</v>
      </c>
      <c r="B168" s="222" t="s">
        <v>743</v>
      </c>
      <c r="C168" s="223"/>
      <c r="D168" s="223"/>
      <c r="E168" s="223"/>
      <c r="F168" s="223"/>
      <c r="G168" s="223"/>
      <c r="H168" s="223"/>
      <c r="I168" s="223"/>
    </row>
    <row r="169" spans="1:9" x14ac:dyDescent="0.1">
      <c r="A169" t="s">
        <v>744</v>
      </c>
      <c r="B169" s="222" t="s">
        <v>745</v>
      </c>
      <c r="C169" s="223"/>
      <c r="D169" s="223"/>
      <c r="E169" s="223"/>
      <c r="F169" s="223"/>
      <c r="G169" s="223"/>
      <c r="H169" s="223"/>
      <c r="I169" s="223"/>
    </row>
    <row r="170" spans="1:9" x14ac:dyDescent="0.1">
      <c r="A170" t="s">
        <v>746</v>
      </c>
      <c r="B170" s="222" t="s">
        <v>747</v>
      </c>
      <c r="C170" s="223"/>
      <c r="D170" s="223"/>
      <c r="E170" s="223"/>
      <c r="F170" s="223"/>
      <c r="G170" s="223"/>
      <c r="H170" s="223"/>
      <c r="I170" s="223"/>
    </row>
    <row r="171" spans="1:9" x14ac:dyDescent="0.1">
      <c r="A171" t="s">
        <v>748</v>
      </c>
      <c r="B171" s="222" t="s">
        <v>749</v>
      </c>
      <c r="C171" s="223"/>
      <c r="D171" s="223"/>
      <c r="E171" s="223"/>
      <c r="F171" s="223"/>
      <c r="G171" s="223"/>
      <c r="H171" s="223"/>
      <c r="I171" s="223"/>
    </row>
    <row r="172" spans="1:9" x14ac:dyDescent="0.1">
      <c r="A172" t="s">
        <v>750</v>
      </c>
      <c r="B172" s="222" t="s">
        <v>751</v>
      </c>
      <c r="C172" s="223"/>
      <c r="D172" s="223"/>
      <c r="E172" s="223"/>
      <c r="F172" s="223"/>
      <c r="G172" s="223"/>
      <c r="H172" s="223"/>
      <c r="I172" s="223"/>
    </row>
    <row r="173" spans="1:9" x14ac:dyDescent="0.1">
      <c r="A173" t="s">
        <v>752</v>
      </c>
      <c r="B173" s="222" t="s">
        <v>753</v>
      </c>
      <c r="C173" s="223"/>
      <c r="D173" s="223"/>
      <c r="E173" s="223"/>
      <c r="F173" s="223"/>
      <c r="G173" s="223"/>
      <c r="H173" s="223"/>
      <c r="I173" s="223"/>
    </row>
    <row r="174" spans="1:9" x14ac:dyDescent="0.1">
      <c r="A174" t="s">
        <v>754</v>
      </c>
      <c r="B174" s="222" t="s">
        <v>755</v>
      </c>
      <c r="C174" s="223"/>
      <c r="D174" s="223"/>
      <c r="E174" s="223"/>
      <c r="F174" s="223"/>
      <c r="G174" s="223"/>
      <c r="H174" s="223"/>
      <c r="I174" s="223"/>
    </row>
    <row r="175" spans="1:9" x14ac:dyDescent="0.1">
      <c r="A175" t="s">
        <v>756</v>
      </c>
      <c r="B175" s="222" t="s">
        <v>757</v>
      </c>
      <c r="C175" s="223"/>
      <c r="D175" s="223"/>
      <c r="E175" s="223"/>
      <c r="F175" s="223"/>
      <c r="G175" s="223"/>
      <c r="H175" s="223"/>
      <c r="I175" s="223"/>
    </row>
    <row r="176" spans="1:9" x14ac:dyDescent="0.1">
      <c r="A176" t="s">
        <v>758</v>
      </c>
      <c r="B176" s="222" t="s">
        <v>759</v>
      </c>
      <c r="C176" s="223"/>
      <c r="D176" s="223"/>
      <c r="E176" s="223"/>
      <c r="F176" s="223"/>
      <c r="G176" s="223"/>
      <c r="H176" s="223"/>
      <c r="I176" s="223"/>
    </row>
    <row r="177" spans="1:9" x14ac:dyDescent="0.1">
      <c r="A177" t="s">
        <v>760</v>
      </c>
      <c r="B177" s="222" t="s">
        <v>761</v>
      </c>
      <c r="C177" s="223"/>
      <c r="D177" s="223"/>
      <c r="E177" s="223"/>
      <c r="F177" s="223"/>
      <c r="G177" s="223"/>
      <c r="H177" s="223"/>
      <c r="I177" s="223"/>
    </row>
    <row r="178" spans="1:9" x14ac:dyDescent="0.1">
      <c r="A178" t="s">
        <v>762</v>
      </c>
      <c r="B178" s="222" t="s">
        <v>763</v>
      </c>
      <c r="C178" s="223"/>
      <c r="D178" s="223"/>
      <c r="E178" s="223"/>
      <c r="F178" s="223"/>
      <c r="G178" s="223"/>
      <c r="H178" s="223"/>
      <c r="I178" s="223"/>
    </row>
    <row r="179" spans="1:9" x14ac:dyDescent="0.1">
      <c r="A179" t="s">
        <v>764</v>
      </c>
      <c r="B179" s="222" t="s">
        <v>765</v>
      </c>
      <c r="C179" s="223"/>
      <c r="D179" s="223"/>
      <c r="E179" s="223"/>
      <c r="F179" s="223"/>
      <c r="G179" s="223"/>
      <c r="H179" s="223"/>
      <c r="I179" s="223"/>
    </row>
    <row r="180" spans="1:9" x14ac:dyDescent="0.1">
      <c r="A180" t="s">
        <v>766</v>
      </c>
      <c r="B180" s="222" t="s">
        <v>767</v>
      </c>
      <c r="C180" s="223"/>
      <c r="D180" s="223"/>
      <c r="E180" s="223"/>
      <c r="F180" s="223"/>
      <c r="G180" s="223"/>
      <c r="H180" s="223"/>
      <c r="I180" s="223"/>
    </row>
    <row r="181" spans="1:9" x14ac:dyDescent="0.1">
      <c r="A181" t="s">
        <v>768</v>
      </c>
      <c r="B181" s="222" t="s">
        <v>769</v>
      </c>
      <c r="C181" s="223"/>
      <c r="D181" s="223"/>
      <c r="E181" s="223"/>
      <c r="F181" s="223"/>
      <c r="G181" s="223"/>
      <c r="H181" s="223"/>
      <c r="I181" s="223"/>
    </row>
    <row r="182" spans="1:9" x14ac:dyDescent="0.1">
      <c r="A182" t="s">
        <v>770</v>
      </c>
      <c r="B182" s="222" t="s">
        <v>771</v>
      </c>
      <c r="C182" s="223"/>
      <c r="D182" s="223"/>
      <c r="E182" s="223"/>
      <c r="F182" s="223"/>
      <c r="G182" s="223"/>
      <c r="H182" s="223"/>
      <c r="I182" s="223"/>
    </row>
    <row r="183" spans="1:9" x14ac:dyDescent="0.1">
      <c r="A183" t="s">
        <v>772</v>
      </c>
      <c r="B183" s="222" t="s">
        <v>773</v>
      </c>
      <c r="C183" s="223"/>
      <c r="D183" s="223"/>
      <c r="E183" s="223"/>
      <c r="F183" s="223"/>
      <c r="G183" s="223"/>
      <c r="H183" s="223"/>
      <c r="I183" s="223"/>
    </row>
    <row r="184" spans="1:9" x14ac:dyDescent="0.1">
      <c r="A184" t="s">
        <v>774</v>
      </c>
      <c r="B184" s="222" t="s">
        <v>775</v>
      </c>
      <c r="C184" s="223"/>
      <c r="D184" s="223"/>
      <c r="E184" s="223"/>
      <c r="F184" s="223"/>
      <c r="G184" s="223"/>
      <c r="H184" s="223"/>
      <c r="I184" s="223"/>
    </row>
    <row r="185" spans="1:9" x14ac:dyDescent="0.1">
      <c r="A185" t="s">
        <v>776</v>
      </c>
      <c r="B185" s="222" t="s">
        <v>777</v>
      </c>
      <c r="C185" s="223"/>
      <c r="D185" s="223"/>
      <c r="E185" s="223"/>
      <c r="F185" s="223"/>
      <c r="G185" s="223"/>
      <c r="H185" s="223"/>
      <c r="I185" s="223"/>
    </row>
    <row r="186" spans="1:9" x14ac:dyDescent="0.1">
      <c r="A186" t="s">
        <v>778</v>
      </c>
      <c r="B186" s="222" t="s">
        <v>779</v>
      </c>
      <c r="C186" s="223"/>
      <c r="D186" s="223"/>
      <c r="E186" s="223"/>
      <c r="F186" s="223"/>
      <c r="G186" s="223"/>
      <c r="H186" s="223"/>
      <c r="I186" s="223"/>
    </row>
    <row r="187" spans="1:9" x14ac:dyDescent="0.1">
      <c r="A187" t="s">
        <v>780</v>
      </c>
      <c r="B187" s="222" t="s">
        <v>781</v>
      </c>
      <c r="C187" s="223"/>
      <c r="D187" s="223"/>
      <c r="E187" s="223"/>
      <c r="F187" s="223"/>
      <c r="G187" s="223"/>
      <c r="H187" s="223"/>
      <c r="I187" s="223"/>
    </row>
    <row r="188" spans="1:9" x14ac:dyDescent="0.1">
      <c r="A188" t="s">
        <v>782</v>
      </c>
      <c r="B188" s="222" t="s">
        <v>783</v>
      </c>
      <c r="C188" s="223"/>
      <c r="D188" s="223"/>
      <c r="E188" s="223"/>
      <c r="F188" s="223"/>
      <c r="G188" s="223"/>
      <c r="H188" s="223"/>
      <c r="I188" s="223"/>
    </row>
    <row r="189" spans="1:9" x14ac:dyDescent="0.1">
      <c r="A189" t="s">
        <v>784</v>
      </c>
      <c r="B189" s="222" t="s">
        <v>785</v>
      </c>
      <c r="C189" s="223"/>
      <c r="D189" s="223"/>
      <c r="E189" s="223"/>
      <c r="F189" s="223"/>
      <c r="G189" s="223"/>
      <c r="H189" s="223"/>
      <c r="I189" s="223"/>
    </row>
    <row r="190" spans="1:9" x14ac:dyDescent="0.1">
      <c r="A190" t="s">
        <v>786</v>
      </c>
      <c r="B190" s="222" t="s">
        <v>787</v>
      </c>
      <c r="C190" s="223"/>
      <c r="D190" s="223"/>
      <c r="E190" s="223"/>
      <c r="F190" s="223"/>
      <c r="G190" s="223"/>
      <c r="H190" s="223"/>
      <c r="I190" s="223"/>
    </row>
    <row r="191" spans="1:9" x14ac:dyDescent="0.1">
      <c r="A191" t="s">
        <v>788</v>
      </c>
      <c r="B191" s="222" t="s">
        <v>789</v>
      </c>
      <c r="C191" s="223"/>
      <c r="D191" s="223"/>
      <c r="E191" s="223"/>
      <c r="F191" s="223"/>
      <c r="G191" s="223"/>
      <c r="H191" s="223"/>
      <c r="I191" s="223"/>
    </row>
    <row r="192" spans="1:9" x14ac:dyDescent="0.1">
      <c r="A192" t="s">
        <v>790</v>
      </c>
      <c r="B192" s="222" t="s">
        <v>791</v>
      </c>
      <c r="C192" s="223"/>
      <c r="D192" s="223"/>
      <c r="E192" s="223"/>
      <c r="F192" s="223"/>
      <c r="G192" s="223"/>
      <c r="H192" s="223"/>
      <c r="I192" s="223"/>
    </row>
    <row r="193" spans="1:9" x14ac:dyDescent="0.1">
      <c r="A193" t="s">
        <v>792</v>
      </c>
      <c r="B193" s="222" t="s">
        <v>793</v>
      </c>
      <c r="C193" s="223"/>
      <c r="D193" s="223"/>
      <c r="E193" s="223"/>
      <c r="F193" s="223"/>
      <c r="G193" s="223"/>
      <c r="H193" s="223"/>
      <c r="I193" s="223"/>
    </row>
    <row r="194" spans="1:9" x14ac:dyDescent="0.1">
      <c r="A194" t="s">
        <v>794</v>
      </c>
      <c r="B194" s="222" t="s">
        <v>795</v>
      </c>
      <c r="C194" s="223"/>
      <c r="D194" s="223"/>
      <c r="E194" s="223"/>
      <c r="F194" s="223"/>
      <c r="G194" s="223"/>
      <c r="H194" s="223"/>
      <c r="I194" s="223"/>
    </row>
    <row r="195" spans="1:9" x14ac:dyDescent="0.1">
      <c r="A195" t="s">
        <v>796</v>
      </c>
      <c r="B195" s="222" t="s">
        <v>797</v>
      </c>
      <c r="C195" s="223"/>
      <c r="D195" s="223"/>
      <c r="E195" s="223"/>
      <c r="F195" s="223"/>
      <c r="G195" s="223"/>
      <c r="H195" s="223"/>
      <c r="I195" s="223"/>
    </row>
    <row r="196" spans="1:9" x14ac:dyDescent="0.1">
      <c r="A196" t="s">
        <v>798</v>
      </c>
      <c r="B196" s="222" t="s">
        <v>799</v>
      </c>
      <c r="C196" s="223"/>
      <c r="D196" s="223"/>
      <c r="E196" s="223"/>
      <c r="F196" s="223"/>
      <c r="G196" s="223"/>
      <c r="H196" s="223"/>
      <c r="I196" s="223"/>
    </row>
    <row r="197" spans="1:9" x14ac:dyDescent="0.1">
      <c r="A197" t="s">
        <v>800</v>
      </c>
      <c r="B197" s="222" t="s">
        <v>801</v>
      </c>
      <c r="C197" s="223"/>
      <c r="D197" s="223"/>
      <c r="E197" s="223"/>
      <c r="F197" s="223"/>
      <c r="G197" s="223"/>
      <c r="H197" s="223"/>
      <c r="I197" s="223"/>
    </row>
    <row r="198" spans="1:9" x14ac:dyDescent="0.1">
      <c r="A198" t="s">
        <v>802</v>
      </c>
      <c r="B198" s="222" t="s">
        <v>803</v>
      </c>
      <c r="C198" s="223"/>
      <c r="D198" s="223"/>
      <c r="E198" s="223"/>
      <c r="F198" s="223"/>
      <c r="G198" s="223"/>
      <c r="H198" s="223"/>
      <c r="I198" s="223"/>
    </row>
    <row r="199" spans="1:9" x14ac:dyDescent="0.1">
      <c r="A199" t="s">
        <v>804</v>
      </c>
      <c r="B199" s="222" t="s">
        <v>805</v>
      </c>
      <c r="C199" s="223"/>
      <c r="D199" s="223"/>
      <c r="E199" s="223"/>
      <c r="F199" s="223"/>
      <c r="G199" s="223"/>
      <c r="H199" s="223"/>
      <c r="I199" s="223"/>
    </row>
    <row r="200" spans="1:9" x14ac:dyDescent="0.1">
      <c r="A200" t="s">
        <v>806</v>
      </c>
      <c r="B200" s="222" t="s">
        <v>807</v>
      </c>
      <c r="C200" s="223"/>
      <c r="D200" s="223"/>
      <c r="E200" s="223"/>
      <c r="F200" s="223"/>
      <c r="G200" s="223"/>
      <c r="H200" s="223"/>
      <c r="I200" s="223"/>
    </row>
    <row r="201" spans="1:9" x14ac:dyDescent="0.1">
      <c r="A201" t="s">
        <v>808</v>
      </c>
      <c r="B201" s="222" t="s">
        <v>809</v>
      </c>
      <c r="C201" s="223"/>
      <c r="D201" s="223"/>
      <c r="E201" s="223"/>
      <c r="F201" s="223"/>
      <c r="G201" s="223"/>
      <c r="H201" s="223"/>
      <c r="I201" s="223"/>
    </row>
    <row r="202" spans="1:9" x14ac:dyDescent="0.1">
      <c r="A202" t="s">
        <v>810</v>
      </c>
      <c r="B202" s="222" t="s">
        <v>811</v>
      </c>
      <c r="C202" s="223"/>
      <c r="D202" s="223"/>
      <c r="E202" s="223"/>
      <c r="F202" s="223"/>
      <c r="G202" s="223"/>
      <c r="H202" s="223"/>
      <c r="I202" s="223"/>
    </row>
    <row r="203" spans="1:9" x14ac:dyDescent="0.1">
      <c r="A203" t="s">
        <v>812</v>
      </c>
      <c r="B203" s="222" t="s">
        <v>813</v>
      </c>
      <c r="C203" s="223"/>
      <c r="D203" s="223"/>
      <c r="E203" s="223"/>
      <c r="F203" s="223"/>
      <c r="G203" s="223"/>
      <c r="H203" s="223"/>
      <c r="I203" s="223"/>
    </row>
    <row r="204" spans="1:9" x14ac:dyDescent="0.1">
      <c r="A204" t="s">
        <v>814</v>
      </c>
      <c r="B204" s="222" t="s">
        <v>815</v>
      </c>
      <c r="C204" s="223"/>
      <c r="D204" s="223"/>
      <c r="E204" s="223"/>
      <c r="F204" s="223"/>
      <c r="G204" s="223"/>
      <c r="H204" s="223"/>
      <c r="I204" s="223"/>
    </row>
    <row r="205" spans="1:9" x14ac:dyDescent="0.1">
      <c r="A205" t="s">
        <v>816</v>
      </c>
      <c r="B205" s="222" t="s">
        <v>817</v>
      </c>
      <c r="C205" s="223"/>
      <c r="D205" s="223"/>
      <c r="E205" s="223"/>
      <c r="F205" s="223"/>
      <c r="G205" s="223"/>
      <c r="H205" s="223"/>
      <c r="I205" s="223"/>
    </row>
    <row r="206" spans="1:9" x14ac:dyDescent="0.1">
      <c r="A206" t="s">
        <v>818</v>
      </c>
      <c r="B206" s="222" t="s">
        <v>819</v>
      </c>
      <c r="C206" s="223"/>
      <c r="D206" s="223"/>
      <c r="E206" s="223"/>
      <c r="F206" s="223"/>
      <c r="G206" s="223"/>
      <c r="H206" s="223"/>
      <c r="I206" s="223"/>
    </row>
    <row r="207" spans="1:9" x14ac:dyDescent="0.1">
      <c r="A207" t="s">
        <v>820</v>
      </c>
      <c r="B207" s="222" t="s">
        <v>821</v>
      </c>
      <c r="C207" s="223"/>
      <c r="D207" s="223"/>
      <c r="E207" s="223"/>
      <c r="F207" s="223"/>
      <c r="G207" s="223"/>
      <c r="H207" s="223"/>
      <c r="I207" s="223"/>
    </row>
    <row r="208" spans="1:9" x14ac:dyDescent="0.1">
      <c r="A208" t="s">
        <v>822</v>
      </c>
      <c r="B208" s="222" t="s">
        <v>823</v>
      </c>
      <c r="C208" s="223"/>
      <c r="D208" s="223"/>
      <c r="E208" s="223"/>
      <c r="F208" s="223"/>
      <c r="G208" s="223"/>
      <c r="H208" s="223"/>
      <c r="I208" s="223"/>
    </row>
    <row r="209" spans="1:9" x14ac:dyDescent="0.1">
      <c r="A209" t="s">
        <v>824</v>
      </c>
      <c r="B209" s="222" t="s">
        <v>825</v>
      </c>
      <c r="C209" s="223"/>
      <c r="D209" s="223"/>
      <c r="E209" s="223"/>
      <c r="F209" s="223"/>
      <c r="G209" s="223"/>
      <c r="H209" s="223"/>
      <c r="I209" s="223"/>
    </row>
    <row r="210" spans="1:9" x14ac:dyDescent="0.1">
      <c r="A210" t="s">
        <v>826</v>
      </c>
      <c r="B210" s="222" t="s">
        <v>827</v>
      </c>
      <c r="C210" s="223"/>
      <c r="D210" s="223"/>
      <c r="E210" s="223"/>
      <c r="F210" s="223"/>
      <c r="G210" s="223"/>
      <c r="H210" s="223"/>
      <c r="I210" s="223"/>
    </row>
    <row r="211" spans="1:9" x14ac:dyDescent="0.1">
      <c r="A211" t="s">
        <v>828</v>
      </c>
      <c r="B211" s="222" t="s">
        <v>829</v>
      </c>
      <c r="C211" s="223"/>
      <c r="D211" s="223"/>
      <c r="E211" s="223"/>
      <c r="F211" s="223"/>
      <c r="G211" s="223"/>
      <c r="H211" s="223"/>
      <c r="I211" s="223"/>
    </row>
    <row r="212" spans="1:9" x14ac:dyDescent="0.1">
      <c r="A212" t="s">
        <v>830</v>
      </c>
      <c r="B212" s="222" t="s">
        <v>831</v>
      </c>
      <c r="C212" s="223"/>
      <c r="D212" s="223"/>
      <c r="E212" s="223"/>
      <c r="F212" s="223"/>
      <c r="G212" s="223"/>
      <c r="H212" s="223"/>
      <c r="I212" s="223"/>
    </row>
    <row r="213" spans="1:9" x14ac:dyDescent="0.1">
      <c r="A213" t="s">
        <v>832</v>
      </c>
      <c r="B213" s="222" t="s">
        <v>833</v>
      </c>
      <c r="C213" s="223"/>
      <c r="D213" s="223"/>
      <c r="E213" s="223"/>
      <c r="F213" s="223"/>
      <c r="G213" s="223"/>
      <c r="H213" s="223"/>
      <c r="I213" s="223"/>
    </row>
    <row r="214" spans="1:9" x14ac:dyDescent="0.1">
      <c r="A214" t="s">
        <v>834</v>
      </c>
      <c r="B214" s="222" t="s">
        <v>835</v>
      </c>
      <c r="C214" s="223"/>
      <c r="D214" s="223"/>
      <c r="E214" s="223"/>
      <c r="F214" s="223"/>
      <c r="G214" s="223"/>
      <c r="H214" s="223"/>
      <c r="I214" s="223"/>
    </row>
    <row r="215" spans="1:9" x14ac:dyDescent="0.1">
      <c r="A215" t="s">
        <v>836</v>
      </c>
      <c r="B215" s="222" t="s">
        <v>837</v>
      </c>
      <c r="C215" s="223"/>
      <c r="D215" s="223"/>
      <c r="E215" s="223"/>
      <c r="F215" s="223"/>
      <c r="G215" s="223"/>
      <c r="H215" s="223"/>
      <c r="I215" s="223"/>
    </row>
    <row r="216" spans="1:9" x14ac:dyDescent="0.1">
      <c r="A216" t="s">
        <v>838</v>
      </c>
      <c r="B216" s="222" t="s">
        <v>839</v>
      </c>
      <c r="C216" s="223"/>
      <c r="D216" s="223"/>
      <c r="E216" s="223"/>
      <c r="F216" s="223"/>
      <c r="G216" s="223"/>
      <c r="H216" s="223"/>
      <c r="I216" s="223"/>
    </row>
    <row r="217" spans="1:9" x14ac:dyDescent="0.1">
      <c r="A217" t="s">
        <v>840</v>
      </c>
      <c r="B217" s="222" t="s">
        <v>841</v>
      </c>
      <c r="C217" s="223"/>
      <c r="D217" s="223"/>
      <c r="E217" s="223"/>
      <c r="F217" s="223"/>
      <c r="G217" s="223"/>
      <c r="H217" s="223"/>
      <c r="I217" s="223"/>
    </row>
    <row r="218" spans="1:9" x14ac:dyDescent="0.1">
      <c r="A218" t="s">
        <v>842</v>
      </c>
      <c r="B218" s="222" t="s">
        <v>843</v>
      </c>
      <c r="C218" s="223"/>
      <c r="D218" s="223"/>
      <c r="E218" s="223"/>
      <c r="F218" s="223"/>
      <c r="G218" s="223"/>
      <c r="H218" s="223"/>
      <c r="I218" s="223"/>
    </row>
    <row r="219" spans="1:9" x14ac:dyDescent="0.1">
      <c r="A219" t="s">
        <v>844</v>
      </c>
      <c r="B219" s="222" t="s">
        <v>845</v>
      </c>
      <c r="C219" s="223"/>
      <c r="D219" s="223"/>
      <c r="E219" s="223"/>
      <c r="F219" s="223"/>
      <c r="G219" s="223"/>
      <c r="H219" s="223"/>
      <c r="I219" s="223"/>
    </row>
    <row r="220" spans="1:9" x14ac:dyDescent="0.1">
      <c r="A220" t="s">
        <v>846</v>
      </c>
      <c r="B220" s="222" t="s">
        <v>847</v>
      </c>
      <c r="C220" s="223"/>
      <c r="D220" s="223"/>
      <c r="E220" s="223"/>
      <c r="F220" s="223"/>
      <c r="G220" s="223"/>
      <c r="H220" s="223"/>
      <c r="I220" s="223"/>
    </row>
    <row r="221" spans="1:9" x14ac:dyDescent="0.1">
      <c r="A221" t="s">
        <v>848</v>
      </c>
      <c r="B221" s="222" t="s">
        <v>849</v>
      </c>
      <c r="C221" s="223"/>
      <c r="D221" s="223"/>
      <c r="E221" s="223"/>
      <c r="F221" s="223"/>
      <c r="G221" s="223"/>
      <c r="H221" s="223"/>
      <c r="I221" s="223"/>
    </row>
    <row r="222" spans="1:9" x14ac:dyDescent="0.1">
      <c r="A222" t="s">
        <v>850</v>
      </c>
      <c r="B222" s="222" t="s">
        <v>851</v>
      </c>
      <c r="C222" s="223"/>
      <c r="D222" s="223"/>
      <c r="E222" s="223"/>
      <c r="F222" s="223"/>
      <c r="G222" s="223"/>
      <c r="H222" s="223"/>
      <c r="I222" s="223"/>
    </row>
    <row r="223" spans="1:9" x14ac:dyDescent="0.1">
      <c r="A223" t="s">
        <v>852</v>
      </c>
      <c r="B223" s="222" t="s">
        <v>853</v>
      </c>
      <c r="C223" s="223"/>
      <c r="D223" s="223"/>
      <c r="E223" s="223"/>
      <c r="F223" s="223"/>
      <c r="G223" s="223"/>
      <c r="H223" s="223"/>
      <c r="I223" s="223"/>
    </row>
    <row r="224" spans="1:9" x14ac:dyDescent="0.1">
      <c r="A224" t="s">
        <v>854</v>
      </c>
      <c r="B224" s="222" t="s">
        <v>855</v>
      </c>
      <c r="C224" s="223"/>
      <c r="D224" s="223"/>
      <c r="E224" s="223"/>
      <c r="F224" s="223"/>
      <c r="G224" s="223"/>
      <c r="H224" s="223"/>
      <c r="I224" s="223"/>
    </row>
    <row r="225" spans="1:9" x14ac:dyDescent="0.1">
      <c r="A225" t="s">
        <v>856</v>
      </c>
      <c r="B225" s="222" t="s">
        <v>857</v>
      </c>
      <c r="C225" s="223"/>
      <c r="D225" s="223"/>
      <c r="E225" s="223"/>
      <c r="F225" s="223"/>
      <c r="G225" s="223"/>
      <c r="H225" s="223"/>
      <c r="I225" s="223"/>
    </row>
    <row r="226" spans="1:9" x14ac:dyDescent="0.1">
      <c r="A226" t="s">
        <v>110</v>
      </c>
      <c r="B226" s="222" t="s">
        <v>858</v>
      </c>
      <c r="C226" s="223"/>
      <c r="D226" s="223"/>
      <c r="E226" s="223"/>
      <c r="F226" s="223"/>
      <c r="G226" s="223"/>
      <c r="H226" s="223"/>
      <c r="I226" s="223"/>
    </row>
    <row r="227" spans="1:9" x14ac:dyDescent="0.1">
      <c r="A227" t="s">
        <v>859</v>
      </c>
      <c r="B227" s="222" t="s">
        <v>860</v>
      </c>
      <c r="C227" s="223"/>
      <c r="D227" s="223"/>
      <c r="E227" s="223"/>
      <c r="F227" s="223"/>
      <c r="G227" s="223"/>
      <c r="H227" s="223"/>
      <c r="I227" s="223"/>
    </row>
    <row r="228" spans="1:9" x14ac:dyDescent="0.1">
      <c r="A228" t="s">
        <v>861</v>
      </c>
      <c r="B228" s="222" t="s">
        <v>862</v>
      </c>
      <c r="C228" s="223"/>
      <c r="D228" s="223"/>
      <c r="E228" s="223"/>
      <c r="F228" s="223"/>
      <c r="G228" s="223"/>
      <c r="H228" s="223"/>
      <c r="I228" s="223"/>
    </row>
    <row r="229" spans="1:9" x14ac:dyDescent="0.1">
      <c r="A229" t="s">
        <v>863</v>
      </c>
      <c r="B229" s="222" t="s">
        <v>864</v>
      </c>
      <c r="C229" s="223"/>
      <c r="D229" s="223"/>
      <c r="E229" s="223"/>
      <c r="F229" s="223"/>
      <c r="G229" s="223"/>
      <c r="H229" s="223"/>
      <c r="I229" s="223"/>
    </row>
    <row r="230" spans="1:9" x14ac:dyDescent="0.1">
      <c r="A230" t="s">
        <v>865</v>
      </c>
      <c r="B230" s="222" t="s">
        <v>866</v>
      </c>
      <c r="C230" s="223"/>
      <c r="D230" s="223"/>
      <c r="E230" s="223"/>
      <c r="F230" s="223"/>
      <c r="G230" s="223"/>
      <c r="H230" s="223"/>
      <c r="I230" s="223"/>
    </row>
    <row r="231" spans="1:9" x14ac:dyDescent="0.1">
      <c r="A231" t="s">
        <v>867</v>
      </c>
      <c r="B231" s="222" t="s">
        <v>868</v>
      </c>
      <c r="C231" s="223"/>
      <c r="D231" s="223"/>
      <c r="E231" s="223"/>
      <c r="F231" s="223"/>
      <c r="G231" s="223"/>
      <c r="H231" s="223"/>
      <c r="I231" s="223"/>
    </row>
    <row r="232" spans="1:9" x14ac:dyDescent="0.1">
      <c r="A232" t="s">
        <v>869</v>
      </c>
      <c r="B232" s="222" t="s">
        <v>870</v>
      </c>
      <c r="C232" s="223"/>
      <c r="D232" s="223"/>
      <c r="E232" s="223"/>
      <c r="F232" s="223"/>
      <c r="G232" s="223"/>
      <c r="H232" s="223"/>
      <c r="I232" s="223"/>
    </row>
    <row r="233" spans="1:9" x14ac:dyDescent="0.1">
      <c r="A233" t="s">
        <v>871</v>
      </c>
      <c r="B233" s="222" t="s">
        <v>872</v>
      </c>
      <c r="C233" s="223"/>
      <c r="D233" s="223"/>
      <c r="E233" s="223"/>
      <c r="F233" s="223"/>
      <c r="G233" s="223"/>
      <c r="H233" s="223"/>
      <c r="I233" s="223"/>
    </row>
    <row r="234" spans="1:9" x14ac:dyDescent="0.1">
      <c r="A234" t="s">
        <v>873</v>
      </c>
      <c r="B234" s="222" t="s">
        <v>874</v>
      </c>
      <c r="C234" s="223"/>
      <c r="D234" s="223"/>
      <c r="E234" s="223"/>
      <c r="F234" s="223"/>
      <c r="G234" s="223"/>
      <c r="H234" s="223"/>
      <c r="I234" s="223"/>
    </row>
    <row r="235" spans="1:9" x14ac:dyDescent="0.1">
      <c r="A235" t="s">
        <v>875</v>
      </c>
      <c r="B235" s="222" t="s">
        <v>876</v>
      </c>
      <c r="C235" s="223"/>
      <c r="D235" s="223"/>
      <c r="E235" s="223"/>
      <c r="F235" s="223"/>
      <c r="G235" s="223"/>
      <c r="H235" s="223"/>
      <c r="I235" s="223"/>
    </row>
    <row r="236" spans="1:9" x14ac:dyDescent="0.1">
      <c r="A236" t="s">
        <v>877</v>
      </c>
      <c r="B236" s="222" t="s">
        <v>878</v>
      </c>
      <c r="C236" s="223"/>
      <c r="D236" s="223"/>
      <c r="E236" s="223"/>
      <c r="F236" s="223"/>
      <c r="G236" s="223"/>
      <c r="H236" s="223"/>
      <c r="I236" s="223"/>
    </row>
    <row r="237" spans="1:9" x14ac:dyDescent="0.1">
      <c r="A237" t="s">
        <v>879</v>
      </c>
      <c r="B237" s="222" t="s">
        <v>880</v>
      </c>
      <c r="C237" s="223"/>
      <c r="D237" s="223"/>
      <c r="E237" s="223"/>
      <c r="F237" s="223"/>
      <c r="G237" s="223"/>
      <c r="H237" s="223"/>
      <c r="I237" s="223"/>
    </row>
    <row r="238" spans="1:9" x14ac:dyDescent="0.1">
      <c r="A238" t="s">
        <v>881</v>
      </c>
      <c r="B238" s="222" t="s">
        <v>882</v>
      </c>
      <c r="C238" s="223"/>
      <c r="D238" s="223"/>
      <c r="E238" s="223"/>
      <c r="F238" s="223"/>
      <c r="G238" s="223"/>
      <c r="H238" s="223"/>
      <c r="I238" s="223"/>
    </row>
    <row r="239" spans="1:9" x14ac:dyDescent="0.1">
      <c r="A239" t="s">
        <v>883</v>
      </c>
      <c r="B239" s="222" t="s">
        <v>884</v>
      </c>
      <c r="C239" s="223"/>
      <c r="D239" s="223"/>
      <c r="E239" s="223"/>
      <c r="F239" s="223"/>
      <c r="G239" s="223"/>
      <c r="H239" s="223"/>
      <c r="I239" s="223"/>
    </row>
    <row r="240" spans="1:9" x14ac:dyDescent="0.1">
      <c r="A240" t="s">
        <v>885</v>
      </c>
      <c r="B240" s="222" t="s">
        <v>886</v>
      </c>
      <c r="C240" s="223"/>
      <c r="D240" s="223"/>
      <c r="E240" s="223"/>
      <c r="F240" s="223"/>
      <c r="G240" s="223"/>
      <c r="H240" s="223"/>
      <c r="I240" s="223"/>
    </row>
    <row r="241" spans="1:9" x14ac:dyDescent="0.1">
      <c r="A241" t="s">
        <v>887</v>
      </c>
      <c r="B241" s="222" t="s">
        <v>888</v>
      </c>
      <c r="C241" s="223"/>
      <c r="D241" s="223"/>
      <c r="E241" s="223"/>
      <c r="F241" s="223"/>
      <c r="G241" s="223"/>
      <c r="H241" s="223"/>
      <c r="I241" s="223"/>
    </row>
    <row r="242" spans="1:9" x14ac:dyDescent="0.1">
      <c r="A242" t="s">
        <v>889</v>
      </c>
      <c r="B242" s="222" t="s">
        <v>890</v>
      </c>
      <c r="C242" s="223"/>
      <c r="D242" s="223"/>
      <c r="E242" s="223"/>
      <c r="F242" s="223"/>
      <c r="G242" s="223"/>
      <c r="H242" s="223"/>
      <c r="I242" s="223"/>
    </row>
    <row r="243" spans="1:9" x14ac:dyDescent="0.1">
      <c r="A243" t="s">
        <v>891</v>
      </c>
      <c r="B243" s="222" t="s">
        <v>892</v>
      </c>
      <c r="C243" s="223"/>
      <c r="D243" s="223"/>
      <c r="E243" s="223"/>
      <c r="F243" s="223"/>
      <c r="G243" s="223"/>
      <c r="H243" s="223"/>
      <c r="I243" s="223"/>
    </row>
    <row r="244" spans="1:9" x14ac:dyDescent="0.1">
      <c r="A244" t="s">
        <v>893</v>
      </c>
      <c r="B244" s="222" t="s">
        <v>894</v>
      </c>
      <c r="C244" s="223"/>
      <c r="D244" s="223"/>
      <c r="E244" s="223"/>
      <c r="F244" s="223"/>
      <c r="G244" s="223"/>
      <c r="H244" s="223"/>
      <c r="I244" s="223"/>
    </row>
    <row r="245" spans="1:9" x14ac:dyDescent="0.1">
      <c r="A245" t="s">
        <v>895</v>
      </c>
      <c r="B245" s="222" t="s">
        <v>896</v>
      </c>
      <c r="C245" s="223"/>
      <c r="D245" s="223"/>
      <c r="E245" s="223"/>
      <c r="F245" s="223"/>
      <c r="G245" s="223"/>
      <c r="H245" s="223"/>
      <c r="I245" s="223"/>
    </row>
    <row r="246" spans="1:9" x14ac:dyDescent="0.1">
      <c r="A246" t="s">
        <v>897</v>
      </c>
      <c r="B246" s="222" t="s">
        <v>898</v>
      </c>
      <c r="C246" s="223"/>
      <c r="D246" s="223"/>
      <c r="E246" s="223"/>
      <c r="F246" s="223"/>
      <c r="G246" s="223"/>
      <c r="H246" s="223"/>
      <c r="I246" s="223"/>
    </row>
    <row r="247" spans="1:9" x14ac:dyDescent="0.1">
      <c r="A247" t="s">
        <v>899</v>
      </c>
      <c r="B247" s="222" t="s">
        <v>900</v>
      </c>
      <c r="C247" s="223"/>
      <c r="D247" s="223"/>
      <c r="E247" s="223"/>
      <c r="F247" s="223"/>
      <c r="G247" s="223"/>
      <c r="H247" s="223"/>
      <c r="I247" s="223"/>
    </row>
    <row r="248" spans="1:9" x14ac:dyDescent="0.1">
      <c r="A248" t="s">
        <v>901</v>
      </c>
      <c r="B248" s="222" t="s">
        <v>902</v>
      </c>
      <c r="C248" s="223"/>
      <c r="D248" s="223"/>
      <c r="E248" s="223"/>
      <c r="F248" s="223"/>
      <c r="G248" s="223"/>
      <c r="H248" s="223"/>
      <c r="I248" s="223"/>
    </row>
    <row r="249" spans="1:9" x14ac:dyDescent="0.1">
      <c r="A249" t="s">
        <v>903</v>
      </c>
      <c r="B249" s="222" t="s">
        <v>904</v>
      </c>
      <c r="C249" s="223"/>
      <c r="D249" s="223"/>
      <c r="E249" s="223"/>
      <c r="F249" s="223"/>
      <c r="G249" s="223"/>
      <c r="H249" s="223"/>
      <c r="I249" s="223"/>
    </row>
    <row r="250" spans="1:9" x14ac:dyDescent="0.1">
      <c r="A250" t="s">
        <v>905</v>
      </c>
      <c r="B250" s="222" t="s">
        <v>906</v>
      </c>
      <c r="C250" s="223"/>
      <c r="D250" s="223"/>
      <c r="E250" s="223"/>
      <c r="F250" s="223"/>
      <c r="G250" s="223"/>
      <c r="H250" s="223"/>
      <c r="I250" s="223"/>
    </row>
    <row r="251" spans="1:9" x14ac:dyDescent="0.1">
      <c r="A251" t="s">
        <v>907</v>
      </c>
      <c r="B251" s="222" t="s">
        <v>908</v>
      </c>
      <c r="C251" s="223"/>
      <c r="D251" s="223"/>
      <c r="E251" s="223"/>
      <c r="F251" s="223"/>
      <c r="G251" s="223"/>
      <c r="H251" s="223"/>
      <c r="I251" s="223"/>
    </row>
    <row r="252" spans="1:9" x14ac:dyDescent="0.1">
      <c r="A252" t="s">
        <v>909</v>
      </c>
      <c r="B252" s="222" t="s">
        <v>910</v>
      </c>
      <c r="C252" s="223"/>
      <c r="D252" s="223"/>
      <c r="E252" s="223"/>
      <c r="F252" s="223"/>
      <c r="G252" s="223"/>
      <c r="H252" s="223"/>
      <c r="I252" s="223"/>
    </row>
    <row r="253" spans="1:9" x14ac:dyDescent="0.1">
      <c r="A253" t="s">
        <v>911</v>
      </c>
      <c r="B253" s="222" t="s">
        <v>912</v>
      </c>
      <c r="C253" s="223"/>
      <c r="D253" s="223"/>
      <c r="E253" s="223"/>
      <c r="F253" s="223"/>
      <c r="G253" s="223"/>
      <c r="H253" s="223"/>
      <c r="I253" s="223"/>
    </row>
    <row r="254" spans="1:9" x14ac:dyDescent="0.1">
      <c r="A254" t="s">
        <v>913</v>
      </c>
      <c r="B254" s="222" t="s">
        <v>914</v>
      </c>
      <c r="C254" s="223"/>
      <c r="D254" s="223"/>
      <c r="E254" s="223"/>
      <c r="F254" s="223"/>
      <c r="G254" s="223"/>
      <c r="H254" s="223"/>
      <c r="I254" s="223"/>
    </row>
    <row r="255" spans="1:9" x14ac:dyDescent="0.1">
      <c r="A255" t="s">
        <v>915</v>
      </c>
      <c r="B255" s="222" t="s">
        <v>916</v>
      </c>
      <c r="C255" s="223"/>
      <c r="D255" s="223"/>
      <c r="E255" s="223"/>
      <c r="F255" s="223"/>
      <c r="G255" s="223"/>
      <c r="H255" s="223"/>
      <c r="I255" s="223"/>
    </row>
    <row r="256" spans="1:9" x14ac:dyDescent="0.1">
      <c r="A256" t="s">
        <v>917</v>
      </c>
      <c r="B256" s="222" t="s">
        <v>918</v>
      </c>
      <c r="C256" s="223"/>
      <c r="D256" s="223"/>
      <c r="E256" s="223"/>
      <c r="F256" s="223"/>
      <c r="G256" s="223"/>
      <c r="H256" s="223"/>
      <c r="I256" s="223"/>
    </row>
    <row r="257" spans="1:9" x14ac:dyDescent="0.1">
      <c r="A257" t="s">
        <v>919</v>
      </c>
      <c r="B257" s="222" t="s">
        <v>920</v>
      </c>
      <c r="C257" s="223"/>
      <c r="D257" s="223"/>
      <c r="E257" s="223"/>
      <c r="F257" s="223"/>
      <c r="G257" s="223"/>
      <c r="H257" s="223"/>
      <c r="I257" s="223"/>
    </row>
    <row r="258" spans="1:9" x14ac:dyDescent="0.1">
      <c r="A258" t="s">
        <v>921</v>
      </c>
      <c r="B258" s="222" t="s">
        <v>922</v>
      </c>
      <c r="C258" s="223"/>
      <c r="D258" s="223"/>
      <c r="E258" s="223"/>
      <c r="F258" s="223"/>
      <c r="G258" s="223"/>
      <c r="H258" s="223"/>
      <c r="I258" s="223"/>
    </row>
    <row r="259" spans="1:9" x14ac:dyDescent="0.1">
      <c r="A259" t="s">
        <v>923</v>
      </c>
      <c r="B259" s="222" t="s">
        <v>924</v>
      </c>
      <c r="C259" s="223"/>
      <c r="D259" s="223"/>
      <c r="E259" s="223"/>
      <c r="F259" s="223"/>
      <c r="G259" s="223"/>
      <c r="H259" s="223"/>
      <c r="I259" s="223"/>
    </row>
    <row r="260" spans="1:9" x14ac:dyDescent="0.1">
      <c r="A260" t="s">
        <v>925</v>
      </c>
      <c r="B260" s="222" t="s">
        <v>926</v>
      </c>
      <c r="C260" s="223"/>
      <c r="D260" s="223"/>
      <c r="E260" s="223"/>
      <c r="F260" s="223"/>
      <c r="G260" s="223"/>
      <c r="H260" s="223"/>
      <c r="I260" s="223"/>
    </row>
    <row r="261" spans="1:9" x14ac:dyDescent="0.1">
      <c r="A261" t="s">
        <v>927</v>
      </c>
      <c r="B261" s="222" t="s">
        <v>928</v>
      </c>
      <c r="C261" s="223"/>
      <c r="D261" s="223"/>
      <c r="E261" s="223"/>
      <c r="F261" s="223"/>
      <c r="G261" s="223"/>
      <c r="H261" s="223"/>
      <c r="I261" s="223"/>
    </row>
    <row r="262" spans="1:9" x14ac:dyDescent="0.1">
      <c r="A262" t="s">
        <v>929</v>
      </c>
      <c r="B262" s="222" t="s">
        <v>930</v>
      </c>
      <c r="C262" s="223"/>
      <c r="D262" s="223"/>
      <c r="E262" s="223"/>
      <c r="F262" s="223"/>
      <c r="G262" s="223"/>
      <c r="H262" s="223"/>
      <c r="I262" s="223"/>
    </row>
    <row r="263" spans="1:9" x14ac:dyDescent="0.1">
      <c r="A263" t="s">
        <v>931</v>
      </c>
      <c r="B263" s="222" t="s">
        <v>932</v>
      </c>
      <c r="C263" s="223"/>
      <c r="D263" s="223"/>
      <c r="E263" s="223"/>
      <c r="F263" s="223"/>
      <c r="G263" s="223"/>
      <c r="H263" s="223"/>
      <c r="I263" s="223"/>
    </row>
    <row r="264" spans="1:9" x14ac:dyDescent="0.1">
      <c r="A264" t="s">
        <v>933</v>
      </c>
      <c r="B264" s="222" t="s">
        <v>934</v>
      </c>
      <c r="C264" s="223"/>
      <c r="D264" s="223"/>
      <c r="E264" s="223"/>
      <c r="F264" s="223"/>
      <c r="G264" s="223"/>
      <c r="H264" s="223"/>
      <c r="I264" s="223"/>
    </row>
    <row r="265" spans="1:9" x14ac:dyDescent="0.1">
      <c r="A265" t="s">
        <v>935</v>
      </c>
      <c r="B265" s="222" t="s">
        <v>936</v>
      </c>
      <c r="C265" s="223"/>
      <c r="D265" s="223"/>
      <c r="E265" s="223"/>
      <c r="F265" s="223"/>
      <c r="G265" s="223"/>
      <c r="H265" s="223"/>
      <c r="I265" s="223"/>
    </row>
    <row r="266" spans="1:9" x14ac:dyDescent="0.1">
      <c r="A266" t="s">
        <v>937</v>
      </c>
      <c r="B266" s="222" t="s">
        <v>938</v>
      </c>
      <c r="C266" s="223"/>
      <c r="D266" s="223"/>
      <c r="E266" s="223"/>
      <c r="F266" s="223"/>
      <c r="G266" s="223"/>
      <c r="H266" s="223"/>
      <c r="I266" s="223"/>
    </row>
    <row r="267" spans="1:9" x14ac:dyDescent="0.1">
      <c r="A267" s="36" t="s">
        <v>939</v>
      </c>
      <c r="B267" s="222" t="s">
        <v>940</v>
      </c>
      <c r="C267" s="222"/>
      <c r="D267" s="222"/>
      <c r="E267" s="222"/>
      <c r="F267" s="222"/>
      <c r="G267" s="222"/>
      <c r="H267" s="222"/>
      <c r="I267" s="222"/>
    </row>
    <row r="268" spans="1:9" x14ac:dyDescent="0.1">
      <c r="A268" s="36" t="s">
        <v>941</v>
      </c>
      <c r="B268" s="222" t="s">
        <v>942</v>
      </c>
      <c r="C268" s="223"/>
      <c r="D268" s="223"/>
      <c r="E268" s="223"/>
      <c r="F268" s="223"/>
      <c r="G268" s="223"/>
      <c r="H268" s="223"/>
      <c r="I268" s="223"/>
    </row>
    <row r="269" spans="1:9" x14ac:dyDescent="0.1">
      <c r="A269" t="s">
        <v>943</v>
      </c>
      <c r="B269" s="222" t="s">
        <v>944</v>
      </c>
      <c r="C269" s="223"/>
      <c r="D269" s="223"/>
      <c r="E269" s="223"/>
      <c r="F269" s="223"/>
      <c r="G269" s="223"/>
      <c r="H269" s="223"/>
      <c r="I269" s="223"/>
    </row>
    <row r="270" spans="1:9" x14ac:dyDescent="0.1">
      <c r="A270" t="s">
        <v>945</v>
      </c>
      <c r="B270" s="222" t="s">
        <v>946</v>
      </c>
      <c r="C270" s="223"/>
      <c r="D270" s="223"/>
      <c r="E270" s="223"/>
      <c r="F270" s="223"/>
      <c r="G270" s="223"/>
      <c r="H270" s="223"/>
      <c r="I270" s="223"/>
    </row>
    <row r="271" spans="1:9" x14ac:dyDescent="0.1">
      <c r="A271" t="s">
        <v>947</v>
      </c>
      <c r="B271" s="222" t="s">
        <v>948</v>
      </c>
      <c r="C271" s="223"/>
      <c r="D271" s="223"/>
      <c r="E271" s="223"/>
      <c r="F271" s="223"/>
      <c r="G271" s="223"/>
      <c r="H271" s="223"/>
      <c r="I271" s="223"/>
    </row>
    <row r="272" spans="1:9" x14ac:dyDescent="0.1">
      <c r="A272" t="s">
        <v>949</v>
      </c>
      <c r="B272" s="222" t="s">
        <v>950</v>
      </c>
      <c r="C272" s="223"/>
      <c r="D272" s="223"/>
      <c r="E272" s="223"/>
      <c r="F272" s="223"/>
      <c r="G272" s="223"/>
      <c r="H272" s="223"/>
      <c r="I272" s="223"/>
    </row>
    <row r="273" spans="1:9" x14ac:dyDescent="0.1">
      <c r="A273" t="s">
        <v>951</v>
      </c>
      <c r="B273" s="222" t="s">
        <v>952</v>
      </c>
      <c r="C273" s="223"/>
      <c r="D273" s="223"/>
      <c r="E273" s="223"/>
      <c r="F273" s="223"/>
      <c r="G273" s="223"/>
      <c r="H273" s="223"/>
      <c r="I273" s="223"/>
    </row>
    <row r="274" spans="1:9" x14ac:dyDescent="0.1">
      <c r="A274" t="s">
        <v>85</v>
      </c>
      <c r="B274" s="222" t="s">
        <v>86</v>
      </c>
      <c r="C274" s="223"/>
      <c r="D274" s="223"/>
      <c r="E274" s="223"/>
      <c r="F274" s="223"/>
      <c r="G274" s="223"/>
      <c r="H274" s="223"/>
      <c r="I274" s="223"/>
    </row>
    <row r="275" spans="1:9" x14ac:dyDescent="0.1">
      <c r="A275" t="s">
        <v>953</v>
      </c>
      <c r="B275" s="222" t="s">
        <v>954</v>
      </c>
      <c r="C275" s="223"/>
      <c r="D275" s="223"/>
      <c r="E275" s="223"/>
      <c r="F275" s="223"/>
      <c r="G275" s="223"/>
      <c r="H275" s="223"/>
      <c r="I275" s="223"/>
    </row>
    <row r="276" spans="1:9" x14ac:dyDescent="0.1">
      <c r="A276" t="s">
        <v>955</v>
      </c>
      <c r="B276" s="222" t="s">
        <v>956</v>
      </c>
      <c r="C276" s="223"/>
      <c r="D276" s="223"/>
      <c r="E276" s="223"/>
      <c r="F276" s="223"/>
      <c r="G276" s="223"/>
      <c r="H276" s="223"/>
      <c r="I276" s="223"/>
    </row>
    <row r="277" spans="1:9" x14ac:dyDescent="0.1">
      <c r="A277" t="s">
        <v>957</v>
      </c>
      <c r="B277" s="222" t="s">
        <v>958</v>
      </c>
      <c r="C277" s="223"/>
      <c r="D277" s="223"/>
      <c r="E277" s="223"/>
      <c r="F277" s="223"/>
      <c r="G277" s="223"/>
      <c r="H277" s="223"/>
      <c r="I277" s="223"/>
    </row>
    <row r="278" spans="1:9" x14ac:dyDescent="0.1">
      <c r="A278" t="s">
        <v>959</v>
      </c>
      <c r="B278" s="222" t="s">
        <v>960</v>
      </c>
      <c r="C278" s="223"/>
      <c r="D278" s="223"/>
      <c r="E278" s="223"/>
      <c r="F278" s="223"/>
      <c r="G278" s="223"/>
      <c r="H278" s="223"/>
      <c r="I278" s="223"/>
    </row>
    <row r="279" spans="1:9" x14ac:dyDescent="0.1">
      <c r="A279" t="s">
        <v>961</v>
      </c>
      <c r="B279" s="222" t="s">
        <v>962</v>
      </c>
      <c r="C279" s="223"/>
      <c r="D279" s="223"/>
      <c r="E279" s="223"/>
      <c r="F279" s="223"/>
      <c r="G279" s="223"/>
      <c r="H279" s="223"/>
      <c r="I279" s="223"/>
    </row>
    <row r="280" spans="1:9" x14ac:dyDescent="0.1">
      <c r="A280" t="s">
        <v>963</v>
      </c>
      <c r="B280" s="222" t="s">
        <v>964</v>
      </c>
      <c r="C280" s="223"/>
      <c r="D280" s="223"/>
      <c r="E280" s="223"/>
      <c r="F280" s="223"/>
      <c r="G280" s="223"/>
      <c r="H280" s="223"/>
      <c r="I280" s="223"/>
    </row>
    <row r="281" spans="1:9" x14ac:dyDescent="0.1">
      <c r="A281" t="s">
        <v>965</v>
      </c>
      <c r="B281" s="222" t="s">
        <v>966</v>
      </c>
      <c r="C281" s="223"/>
      <c r="D281" s="223"/>
      <c r="E281" s="223"/>
      <c r="F281" s="223"/>
      <c r="G281" s="223"/>
      <c r="H281" s="223"/>
      <c r="I281" s="223"/>
    </row>
    <row r="282" spans="1:9" x14ac:dyDescent="0.1">
      <c r="A282" t="s">
        <v>967</v>
      </c>
      <c r="B282" s="222" t="s">
        <v>968</v>
      </c>
      <c r="C282" s="223"/>
      <c r="D282" s="223"/>
      <c r="E282" s="223"/>
      <c r="F282" s="223"/>
      <c r="G282" s="223"/>
      <c r="H282" s="223"/>
      <c r="I282" s="223"/>
    </row>
    <row r="283" spans="1:9" x14ac:dyDescent="0.1">
      <c r="A283" t="s">
        <v>969</v>
      </c>
      <c r="B283" s="222" t="s">
        <v>970</v>
      </c>
      <c r="C283" s="223"/>
      <c r="D283" s="223"/>
      <c r="E283" s="223"/>
      <c r="F283" s="223"/>
      <c r="G283" s="223"/>
      <c r="H283" s="223"/>
      <c r="I283" s="223"/>
    </row>
    <row r="284" spans="1:9" x14ac:dyDescent="0.1">
      <c r="A284" t="s">
        <v>971</v>
      </c>
      <c r="B284" s="222" t="s">
        <v>972</v>
      </c>
      <c r="C284" s="223"/>
      <c r="D284" s="223"/>
      <c r="E284" s="223"/>
      <c r="F284" s="223"/>
      <c r="G284" s="223"/>
      <c r="H284" s="223"/>
      <c r="I284" s="223"/>
    </row>
    <row r="285" spans="1:9" x14ac:dyDescent="0.1">
      <c r="A285" t="s">
        <v>973</v>
      </c>
      <c r="B285" s="222" t="s">
        <v>974</v>
      </c>
      <c r="C285" s="223"/>
      <c r="D285" s="223"/>
      <c r="E285" s="223"/>
      <c r="F285" s="223"/>
      <c r="G285" s="223"/>
      <c r="H285" s="223"/>
      <c r="I285" s="223"/>
    </row>
    <row r="286" spans="1:9" x14ac:dyDescent="0.1">
      <c r="A286" t="s">
        <v>101</v>
      </c>
      <c r="B286" s="222" t="s">
        <v>975</v>
      </c>
      <c r="C286" s="223"/>
      <c r="D286" s="223"/>
      <c r="E286" s="223"/>
      <c r="F286" s="223"/>
      <c r="G286" s="223"/>
      <c r="H286" s="223"/>
      <c r="I286" s="223"/>
    </row>
    <row r="287" spans="1:9" x14ac:dyDescent="0.1">
      <c r="A287" t="s">
        <v>94</v>
      </c>
      <c r="B287" s="222" t="s">
        <v>976</v>
      </c>
      <c r="C287" s="223"/>
      <c r="D287" s="223"/>
      <c r="E287" s="223"/>
      <c r="F287" s="223"/>
      <c r="G287" s="223"/>
      <c r="H287" s="223"/>
      <c r="I287" s="223"/>
    </row>
    <row r="288" spans="1:9" x14ac:dyDescent="0.1">
      <c r="A288" t="s">
        <v>977</v>
      </c>
      <c r="B288" s="222" t="s">
        <v>978</v>
      </c>
      <c r="C288" s="223"/>
      <c r="D288" s="223"/>
      <c r="E288" s="223"/>
      <c r="F288" s="223"/>
      <c r="G288" s="223"/>
      <c r="H288" s="223"/>
      <c r="I288" s="223"/>
    </row>
    <row r="289" spans="1:9" x14ac:dyDescent="0.1">
      <c r="A289" t="s">
        <v>979</v>
      </c>
      <c r="B289" s="222" t="s">
        <v>980</v>
      </c>
      <c r="C289" s="223"/>
      <c r="D289" s="223"/>
      <c r="E289" s="223"/>
      <c r="F289" s="223"/>
      <c r="G289" s="223"/>
      <c r="H289" s="223"/>
      <c r="I289" s="223"/>
    </row>
    <row r="290" spans="1:9" x14ac:dyDescent="0.1">
      <c r="A290" t="s">
        <v>981</v>
      </c>
      <c r="B290" s="222" t="s">
        <v>982</v>
      </c>
      <c r="C290" s="223"/>
      <c r="D290" s="223"/>
      <c r="E290" s="223"/>
      <c r="F290" s="223"/>
      <c r="G290" s="223"/>
      <c r="H290" s="223"/>
      <c r="I290" s="223"/>
    </row>
    <row r="291" spans="1:9" x14ac:dyDescent="0.1">
      <c r="A291" t="s">
        <v>983</v>
      </c>
      <c r="B291" s="222" t="s">
        <v>984</v>
      </c>
      <c r="C291" s="223"/>
      <c r="D291" s="223"/>
      <c r="E291" s="223"/>
      <c r="F291" s="223"/>
      <c r="G291" s="223"/>
      <c r="H291" s="223"/>
      <c r="I291" s="223"/>
    </row>
    <row r="292" spans="1:9" x14ac:dyDescent="0.1">
      <c r="A292" t="s">
        <v>985</v>
      </c>
      <c r="B292" s="222" t="s">
        <v>986</v>
      </c>
      <c r="C292" s="223"/>
      <c r="D292" s="223"/>
      <c r="E292" s="223"/>
      <c r="F292" s="223"/>
      <c r="G292" s="223"/>
      <c r="H292" s="223"/>
      <c r="I292" s="223"/>
    </row>
    <row r="293" spans="1:9" x14ac:dyDescent="0.1">
      <c r="A293" t="s">
        <v>987</v>
      </c>
      <c r="B293" s="222" t="s">
        <v>988</v>
      </c>
      <c r="C293" s="223"/>
      <c r="D293" s="223"/>
      <c r="E293" s="223"/>
      <c r="F293" s="223"/>
      <c r="G293" s="223"/>
      <c r="H293" s="223"/>
      <c r="I293" s="223"/>
    </row>
    <row r="294" spans="1:9" x14ac:dyDescent="0.1">
      <c r="A294" t="s">
        <v>989</v>
      </c>
      <c r="B294" s="222" t="s">
        <v>990</v>
      </c>
      <c r="C294" s="223"/>
      <c r="D294" s="223"/>
      <c r="E294" s="223"/>
      <c r="F294" s="223"/>
      <c r="G294" s="223"/>
      <c r="H294" s="223"/>
      <c r="I294" s="223"/>
    </row>
    <row r="295" spans="1:9" x14ac:dyDescent="0.1">
      <c r="A295" t="s">
        <v>991</v>
      </c>
      <c r="B295" s="222" t="s">
        <v>992</v>
      </c>
      <c r="C295" s="223"/>
      <c r="D295" s="223"/>
      <c r="E295" s="223"/>
      <c r="F295" s="223"/>
      <c r="G295" s="223"/>
      <c r="H295" s="223"/>
      <c r="I295" s="223"/>
    </row>
    <row r="296" spans="1:9" x14ac:dyDescent="0.1">
      <c r="A296" t="s">
        <v>993</v>
      </c>
      <c r="B296" s="222" t="s">
        <v>994</v>
      </c>
      <c r="C296" s="223"/>
      <c r="D296" s="223"/>
      <c r="E296" s="223"/>
      <c r="F296" s="223"/>
      <c r="G296" s="223"/>
      <c r="H296" s="223"/>
      <c r="I296" s="223"/>
    </row>
    <row r="297" spans="1:9" x14ac:dyDescent="0.1">
      <c r="A297" t="s">
        <v>995</v>
      </c>
      <c r="B297" s="222" t="s">
        <v>996</v>
      </c>
      <c r="C297" s="223"/>
      <c r="D297" s="223"/>
      <c r="E297" s="223"/>
      <c r="F297" s="223"/>
      <c r="G297" s="223"/>
      <c r="H297" s="223"/>
      <c r="I297" s="223"/>
    </row>
    <row r="298" spans="1:9" x14ac:dyDescent="0.1">
      <c r="A298" t="s">
        <v>997</v>
      </c>
      <c r="B298" s="222" t="s">
        <v>998</v>
      </c>
      <c r="C298" s="223"/>
      <c r="D298" s="223"/>
      <c r="E298" s="223"/>
      <c r="F298" s="223"/>
      <c r="G298" s="223"/>
      <c r="H298" s="223"/>
      <c r="I298" s="223"/>
    </row>
    <row r="299" spans="1:9" x14ac:dyDescent="0.1">
      <c r="A299" t="s">
        <v>999</v>
      </c>
      <c r="B299" s="222" t="s">
        <v>1000</v>
      </c>
      <c r="C299" s="223"/>
      <c r="D299" s="223"/>
      <c r="E299" s="223"/>
      <c r="F299" s="223"/>
      <c r="G299" s="223"/>
      <c r="H299" s="223"/>
      <c r="I299" s="223"/>
    </row>
    <row r="300" spans="1:9" x14ac:dyDescent="0.1">
      <c r="A300" t="s">
        <v>1001</v>
      </c>
      <c r="B300" s="222" t="s">
        <v>1002</v>
      </c>
      <c r="C300" s="223"/>
      <c r="D300" s="223"/>
      <c r="E300" s="223"/>
      <c r="F300" s="223"/>
      <c r="G300" s="223"/>
      <c r="H300" s="223"/>
      <c r="I300" s="223"/>
    </row>
    <row r="301" spans="1:9" x14ac:dyDescent="0.1">
      <c r="A301" t="s">
        <v>1003</v>
      </c>
      <c r="B301" s="222" t="s">
        <v>1004</v>
      </c>
      <c r="C301" s="223"/>
      <c r="D301" s="223"/>
      <c r="E301" s="223"/>
      <c r="F301" s="223"/>
      <c r="G301" s="223"/>
      <c r="H301" s="223"/>
      <c r="I301" s="223"/>
    </row>
    <row r="302" spans="1:9" x14ac:dyDescent="0.1">
      <c r="A302" t="s">
        <v>1005</v>
      </c>
      <c r="B302" s="222" t="s">
        <v>1006</v>
      </c>
      <c r="C302" s="223"/>
      <c r="D302" s="223"/>
      <c r="E302" s="223"/>
      <c r="F302" s="223"/>
      <c r="G302" s="223"/>
      <c r="H302" s="223"/>
      <c r="I302" s="223"/>
    </row>
    <row r="303" spans="1:9" x14ac:dyDescent="0.1">
      <c r="A303" t="s">
        <v>1007</v>
      </c>
      <c r="B303" s="222" t="s">
        <v>1008</v>
      </c>
      <c r="C303" s="223"/>
      <c r="D303" s="223"/>
      <c r="E303" s="223"/>
      <c r="F303" s="223"/>
      <c r="G303" s="223"/>
      <c r="H303" s="223"/>
      <c r="I303" s="223"/>
    </row>
    <row r="304" spans="1:9" x14ac:dyDescent="0.1">
      <c r="A304" t="s">
        <v>1009</v>
      </c>
      <c r="B304" s="222" t="s">
        <v>1010</v>
      </c>
      <c r="C304" s="223"/>
      <c r="D304" s="223"/>
      <c r="E304" s="223"/>
      <c r="F304" s="223"/>
      <c r="G304" s="223"/>
      <c r="H304" s="223"/>
      <c r="I304" s="223"/>
    </row>
    <row r="305" spans="1:9" x14ac:dyDescent="0.1">
      <c r="B305" s="7"/>
      <c r="C305" s="7"/>
      <c r="D305" s="7"/>
      <c r="E305" s="7"/>
      <c r="F305" s="7"/>
      <c r="G305" s="7"/>
      <c r="H305" s="7"/>
      <c r="I305" s="7"/>
    </row>
    <row r="306" spans="1:9" x14ac:dyDescent="0.1">
      <c r="A306" t="s">
        <v>179</v>
      </c>
      <c r="B306" t="s">
        <v>1011</v>
      </c>
      <c r="C306">
        <v>100</v>
      </c>
      <c r="E306" t="str">
        <f>IF(装备!$A5&lt;&gt;0,IF(装备!$E5&lt;&gt;0,VLOOKUP(装备!$A5,$A$330:$C$475,2,0)&amp;VLOOKUP(装备!E5,$A$306:$C$318,2,0),VLOOKUP(装备!$A5,$A$330:$C$475,2,0)),"")</f>
        <v/>
      </c>
      <c r="F306" s="7"/>
      <c r="G306" t="str">
        <f>IF(装备!$AC5&lt;&gt;0,VLOOKUP(装备!$AC5,$E$330:$G$1139,3,0),"")</f>
        <v/>
      </c>
      <c r="I306" s="7"/>
    </row>
    <row r="307" spans="1:9" x14ac:dyDescent="0.1">
      <c r="A307" t="s">
        <v>1012</v>
      </c>
      <c r="B307" t="s">
        <v>1011</v>
      </c>
      <c r="C307">
        <v>10</v>
      </c>
      <c r="E307" t="str">
        <f>IF(装备!$A6&lt;&gt;0,IF(装备!$E6&lt;&gt;0,VLOOKUP(装备!$A6,$A$330:$C$475,2,0)&amp;VLOOKUP(装备!E6,$A$306:$C$318,2,0),VLOOKUP(装备!$A6,$A$330:$C$475,2,0)),"")</f>
        <v/>
      </c>
      <c r="F307" s="7"/>
      <c r="G307" t="str">
        <f>IF(装备!$AC6&lt;&gt;0,VLOOKUP(装备!$AC6,$E$330:$G$1139,3,0),"")</f>
        <v/>
      </c>
      <c r="I307" s="7"/>
    </row>
    <row r="308" spans="1:9" x14ac:dyDescent="0.1">
      <c r="A308" t="s">
        <v>1013</v>
      </c>
      <c r="B308" t="s">
        <v>1014</v>
      </c>
      <c r="C308">
        <v>500</v>
      </c>
      <c r="E308" t="str">
        <f>IF(装备!$A7&lt;&gt;0,IF(装备!$E7&lt;&gt;0,VLOOKUP(装备!$A7,$A$330:$C$475,2,0)&amp;VLOOKUP(装备!E7,$A$306:$C$318,2,0),VLOOKUP(装备!$A7,$A$330:$C$475,2,0)),"")</f>
        <v/>
      </c>
      <c r="F308" s="7"/>
      <c r="G308" t="str">
        <f>IF(装备!$AC7&lt;&gt;0,VLOOKUP(装备!$AC7,$E$330:$G$1139,3,0),"")</f>
        <v/>
      </c>
      <c r="I308" s="7"/>
    </row>
    <row r="309" spans="1:9" x14ac:dyDescent="0.1">
      <c r="A309" t="s">
        <v>1015</v>
      </c>
      <c r="B309" t="s">
        <v>1014</v>
      </c>
      <c r="C309">
        <v>50</v>
      </c>
      <c r="E309" t="str">
        <f>IF(装备!$A8&lt;&gt;0,IF(装备!$E8&lt;&gt;0,VLOOKUP(装备!$A8,$A$330:$C$475,2,0)&amp;VLOOKUP(装备!E8,$A$306:$C$318,2,0),VLOOKUP(装备!$A8,$A$330:$C$475,2,0)),"")</f>
        <v/>
      </c>
      <c r="F309" s="7"/>
      <c r="G309" t="str">
        <f>IF(装备!$AC8&lt;&gt;0,VLOOKUP(装备!$AC8,$E$330:$G$1139,3,0),"")</f>
        <v/>
      </c>
      <c r="I309" s="7"/>
    </row>
    <row r="310" spans="1:9" x14ac:dyDescent="0.1">
      <c r="A310" t="s">
        <v>1016</v>
      </c>
      <c r="B310" t="s">
        <v>1017</v>
      </c>
      <c r="C310">
        <v>1000</v>
      </c>
      <c r="E310" t="str">
        <f>IF(装备!$A9&lt;&gt;0,IF(装备!$E9&lt;&gt;0,VLOOKUP(装备!$A9,$A$330:$C$475,2,0)&amp;VLOOKUP(装备!E9,$A$306:$C$318,2,0),VLOOKUP(装备!$A9,$A$330:$C$475,2,0)),"")</f>
        <v/>
      </c>
      <c r="F310" s="7"/>
      <c r="G310" t="str">
        <f>IF(装备!$AC9&lt;&gt;0,VLOOKUP(装备!$AC9,$E$330:$G$1139,3,0),"")</f>
        <v/>
      </c>
      <c r="I310" s="7"/>
    </row>
    <row r="311" spans="1:9" x14ac:dyDescent="0.1">
      <c r="A311" t="s">
        <v>1018</v>
      </c>
      <c r="B311" t="s">
        <v>1019</v>
      </c>
      <c r="C311">
        <v>500</v>
      </c>
      <c r="E311" t="str">
        <f>IF(装备!$A10&lt;&gt;0,IF(装备!$E10&lt;&gt;0,VLOOKUP(装备!$A10,$A$330:$C$475,2,0)&amp;VLOOKUP(装备!E10,$A$306:$C$318,2,0),VLOOKUP(装备!$A10,$A$330:$C$475,2,0)),"")</f>
        <v/>
      </c>
      <c r="F311" s="7"/>
      <c r="G311" t="str">
        <f>IF(装备!$AC10&lt;&gt;0,VLOOKUP(装备!$AC10,$E$330:$G$1139,3,0),"")</f>
        <v/>
      </c>
      <c r="I311" s="7"/>
    </row>
    <row r="312" spans="1:9" x14ac:dyDescent="0.1">
      <c r="A312" t="s">
        <v>1020</v>
      </c>
      <c r="B312" t="s">
        <v>1021</v>
      </c>
      <c r="C312">
        <v>500</v>
      </c>
      <c r="E312" t="str">
        <f>IF(装备!$A11&lt;&gt;0,IF(装备!$E11&lt;&gt;0,VLOOKUP(装备!$A11,$A$330:$C$475,2,0)&amp;VLOOKUP(装备!E11,$A$306:$C$318,2,0),VLOOKUP(装备!$A11,$A$330:$C$475,2,0)),"")</f>
        <v/>
      </c>
      <c r="F312" s="7"/>
      <c r="G312" t="str">
        <f>IF(装备!$AC11&lt;&gt;0,VLOOKUP(装备!$AC11,$E$330:$G$1139,3,0),"")</f>
        <v/>
      </c>
      <c r="I312" s="7"/>
    </row>
    <row r="313" spans="1:9" x14ac:dyDescent="0.1">
      <c r="A313" t="s">
        <v>1022</v>
      </c>
      <c r="B313" t="s">
        <v>1023</v>
      </c>
      <c r="C313">
        <v>500</v>
      </c>
      <c r="E313" t="str">
        <f>IF(装备!$A12&lt;&gt;0,IF(装备!$E12&lt;&gt;0,VLOOKUP(装备!$A12,$A$330:$C$475,2,0)&amp;VLOOKUP(装备!E12,$A$306:$C$318,2,0),VLOOKUP(装备!$A12,$A$330:$C$475,2,0)),"")</f>
        <v/>
      </c>
      <c r="F313" s="7"/>
      <c r="G313" t="str">
        <f>IF(装备!$AC12&lt;&gt;0,VLOOKUP(装备!$AC12,$E$330:$G$1139,3,0),"")</f>
        <v/>
      </c>
      <c r="I313" s="7"/>
    </row>
    <row r="314" spans="1:9" x14ac:dyDescent="0.1">
      <c r="A314" t="s">
        <v>1024</v>
      </c>
      <c r="B314" t="s">
        <v>1025</v>
      </c>
      <c r="C314">
        <v>750</v>
      </c>
      <c r="E314" t="str">
        <f>IF(装备!$A13&lt;&gt;0,IF(装备!$E13&lt;&gt;0,VLOOKUP(装备!$A13,$A$330:$C$475,2,0)&amp;VLOOKUP(装备!E13,$A$306:$C$318,2,0),VLOOKUP(装备!$A13,$A$330:$C$475,2,0)),"")</f>
        <v/>
      </c>
      <c r="F314" s="7"/>
      <c r="G314" t="str">
        <f>IF(装备!$AC13&lt;&gt;0,VLOOKUP(装备!$AC13,$E$330:$G$1139,3,0),"")</f>
        <v/>
      </c>
      <c r="I314" s="7"/>
    </row>
    <row r="315" spans="1:9" x14ac:dyDescent="0.1">
      <c r="A315" t="s">
        <v>1026</v>
      </c>
      <c r="B315" t="s">
        <v>1027</v>
      </c>
      <c r="C315">
        <v>750</v>
      </c>
      <c r="E315" t="str">
        <f>IF(装备!$A14&lt;&gt;0,IF(装备!$E14&lt;&gt;0,VLOOKUP(装备!$A14,$A$330:$C$475,2,0)&amp;VLOOKUP(装备!E14,$A$306:$C$318,2,0),VLOOKUP(装备!$A14,$A$330:$C$475,2,0)),"")</f>
        <v/>
      </c>
      <c r="F315" s="7"/>
      <c r="G315" t="str">
        <f>IF(装备!$AC14&lt;&gt;0,VLOOKUP(装备!$AC14,$E$330:$G$1139,3,0),"")</f>
        <v/>
      </c>
      <c r="I315" s="7"/>
    </row>
    <row r="316" spans="1:9" x14ac:dyDescent="0.1">
      <c r="A316" t="s">
        <v>1028</v>
      </c>
      <c r="B316" t="s">
        <v>1029</v>
      </c>
      <c r="C316">
        <v>2100</v>
      </c>
      <c r="E316" t="str">
        <f>IF(装备!$A15&lt;&gt;0,IF(装备!$E15&lt;&gt;0,VLOOKUP(装备!$A15,$A$330:$C$475,2,0)&amp;VLOOKUP(装备!E15,$A$306:$C$318,2,0),VLOOKUP(装备!$A15,$A$330:$C$475,2,0)),"")</f>
        <v/>
      </c>
      <c r="F316" s="7"/>
      <c r="G316" t="str">
        <f>IF(装备!$AC15&lt;&gt;0,VLOOKUP(装备!$AC15,$E$330:$G$1139,3,0),"")</f>
        <v/>
      </c>
      <c r="I316" s="7"/>
    </row>
    <row r="317" spans="1:9" x14ac:dyDescent="0.1">
      <c r="A317" t="s">
        <v>1030</v>
      </c>
      <c r="B317" t="s">
        <v>1031</v>
      </c>
      <c r="C317">
        <v>25000</v>
      </c>
      <c r="E317" t="str">
        <f>IF(装备!$A16&lt;&gt;0,IF(装备!$E16&lt;&gt;0,VLOOKUP(装备!$A16,$A$330:$C$475,2,0)&amp;VLOOKUP(装备!E16,$A$306:$C$318,2,0),VLOOKUP(装备!$A16,$A$330:$C$475,2,0)),"")</f>
        <v/>
      </c>
      <c r="F317" s="7"/>
      <c r="G317" t="str">
        <f>IF(装备!$AC16&lt;&gt;0,VLOOKUP(装备!$AC16,$E$330:$G$1139,3,0),"")</f>
        <v/>
      </c>
      <c r="I317" s="7"/>
    </row>
    <row r="318" spans="1:9" x14ac:dyDescent="0.1">
      <c r="A318" t="s">
        <v>1032</v>
      </c>
      <c r="B318" t="s">
        <v>1033</v>
      </c>
      <c r="C318">
        <v>12000</v>
      </c>
      <c r="E318" t="str">
        <f>IF(装备!$A17&lt;&gt;0,IF(装备!$E17&lt;&gt;0,VLOOKUP(装备!$A17,$A$330:$C$475,2,0)&amp;VLOOKUP(装备!E17,$A$306:$C$318,2,0),VLOOKUP(装备!$A17,$A$330:$C$475,2,0)),"")</f>
        <v/>
      </c>
      <c r="F318" s="7"/>
      <c r="G318" t="str">
        <f>IF(装备!$AC17&lt;&gt;0,VLOOKUP(装备!$AC17,$E$330:$G$1139,3,0),"")</f>
        <v/>
      </c>
      <c r="I318" s="7"/>
    </row>
    <row r="319" spans="1:9" x14ac:dyDescent="0.1">
      <c r="E319" t="str">
        <f>IF(装备!$A18&lt;&gt;0,IF(装备!$E18&lt;&gt;0,VLOOKUP(装备!$A18,$A$330:$C$475,2,0)&amp;VLOOKUP(装备!E18,$A$306:$C$318,2,0),VLOOKUP(装备!$A18,$A$330:$C$475,2,0)),"")</f>
        <v/>
      </c>
      <c r="F319" s="7"/>
      <c r="G319" t="str">
        <f>IF(装备!$AC18&lt;&gt;0,VLOOKUP(装备!$AC18,$E$330:$G$1139,3,0),"")</f>
        <v/>
      </c>
      <c r="I319" s="7"/>
    </row>
    <row r="320" spans="1:9" x14ac:dyDescent="0.1">
      <c r="E320" t="str">
        <f>IF(装备!$A19&lt;&gt;0,IF(装备!$E19&lt;&gt;0,VLOOKUP(装备!$A19,$A$330:$C$475,2,0)&amp;VLOOKUP(装备!E19,$A$306:$C$318,2,0),VLOOKUP(装备!$A19,$A$330:$C$475,2,0)),"")</f>
        <v/>
      </c>
      <c r="F320" s="7"/>
      <c r="G320" t="str">
        <f>IF(装备!$AC19&lt;&gt;0,VLOOKUP(装备!$AC19,$E$330:$G$1139,3,0),"")</f>
        <v/>
      </c>
      <c r="I320" s="7"/>
    </row>
    <row r="321" spans="1:9" x14ac:dyDescent="0.1">
      <c r="E321" t="str">
        <f>IF(装备!$A20&lt;&gt;0,IF(装备!$E20&lt;&gt;0,VLOOKUP(装备!$A20,$A$330:$C$475,2,0)&amp;VLOOKUP(装备!E20,$A$306:$C$318,2,0),VLOOKUP(装备!$A20,$A$330:$C$475,2,0)),"")</f>
        <v/>
      </c>
      <c r="F321" s="7"/>
      <c r="G321" t="str">
        <f>IF(装备!$AC20&lt;&gt;0,VLOOKUP(装备!$AC20,$E$330:$G$1139,3,0),"")</f>
        <v/>
      </c>
      <c r="I321" s="7"/>
    </row>
    <row r="322" spans="1:9" x14ac:dyDescent="0.1">
      <c r="E322" t="str">
        <f>IF(装备!$A21&lt;&gt;0,IF(装备!$E21&lt;&gt;0,VLOOKUP(装备!$A21,$A$330:$C$475,2,0)&amp;VLOOKUP(装备!E21,$A$306:$C$318,2,0),VLOOKUP(装备!$A21,$A$330:$C$475,2,0)),"")</f>
        <v/>
      </c>
      <c r="F322" s="7"/>
      <c r="G322" t="str">
        <f>IF(装备!$AC21&lt;&gt;0,VLOOKUP(装备!$AC21,$E$330:$G$1139,3,0),"")</f>
        <v/>
      </c>
      <c r="I322" s="7"/>
    </row>
    <row r="323" spans="1:9" x14ac:dyDescent="0.1">
      <c r="E323" t="str">
        <f>IF(装备!$A22&lt;&gt;0,IF(装备!$E22&lt;&gt;0,VLOOKUP(装备!$A22,$A$330:$C$475,2,0)&amp;VLOOKUP(装备!E22,$A$306:$C$318,2,0),VLOOKUP(装备!$A22,$A$330:$C$475,2,0)),"")</f>
        <v/>
      </c>
      <c r="F323" s="7"/>
      <c r="G323" t="str">
        <f>IF(装备!$AC22&lt;&gt;0,VLOOKUP(装备!$AC22,$E$330:$G$1139,3,0),"")</f>
        <v/>
      </c>
      <c r="I323" s="7"/>
    </row>
    <row r="324" spans="1:9" x14ac:dyDescent="0.1">
      <c r="E324" t="str">
        <f>IF(装备!$A23&lt;&gt;0,IF(装备!$E23&lt;&gt;0,VLOOKUP(装备!$A23,$A$330:$C$475,2,0)&amp;VLOOKUP(装备!E23,$A$306:$C$318,2,0),VLOOKUP(装备!$A23,$A$330:$C$475,2,0)),"")</f>
        <v/>
      </c>
      <c r="F324" s="7"/>
      <c r="G324" t="str">
        <f>IF(装备!$AC23&lt;&gt;0,VLOOKUP(装备!$AC23,$E$330:$G$1139,3,0),"")</f>
        <v/>
      </c>
      <c r="I324" s="7"/>
    </row>
    <row r="325" spans="1:9" x14ac:dyDescent="0.1">
      <c r="E325" t="str">
        <f>IF(装备!$A24&lt;&gt;0,IF(装备!$E24&lt;&gt;0,VLOOKUP(装备!$A24,$A$330:$C$475,2,0)&amp;VLOOKUP(装备!E24,$A$306:$C$318,2,0),VLOOKUP(装备!$A24,$A$330:$C$475,2,0)),"")</f>
        <v/>
      </c>
      <c r="F325" s="7"/>
      <c r="G325" t="str">
        <f>IF(装备!$AC24&lt;&gt;0,VLOOKUP(装备!$AC24,$E$330:$G$1139,3,0),"")</f>
        <v/>
      </c>
      <c r="I325" s="7"/>
    </row>
    <row r="326" spans="1:9" x14ac:dyDescent="0.1">
      <c r="E326" t="str">
        <f>IF(装备!$A25&lt;&gt;0,IF(装备!$E25&lt;&gt;0,VLOOKUP(装备!$A25,$A$330:$C$475,2,0)&amp;VLOOKUP(装备!E25,$A$306:$C$318,2,0),VLOOKUP(装备!$A25,$A$330:$C$475,2,0)),"")</f>
        <v/>
      </c>
      <c r="F326" s="7"/>
      <c r="G326" t="str">
        <f>IF(装备!$AC25&lt;&gt;0,VLOOKUP(装备!$AC25,$E$330:$G$1139,3,0),"")</f>
        <v/>
      </c>
      <c r="I326" s="7"/>
    </row>
    <row r="327" spans="1:9" x14ac:dyDescent="0.1">
      <c r="F327" s="7"/>
      <c r="I327" s="7"/>
    </row>
    <row r="328" spans="1:9" x14ac:dyDescent="0.1">
      <c r="F328" s="7"/>
      <c r="I328" s="7"/>
    </row>
    <row r="329" spans="1:9" x14ac:dyDescent="0.1">
      <c r="B329" s="7"/>
      <c r="C329" s="7"/>
      <c r="D329" s="7"/>
      <c r="E329" s="7"/>
      <c r="F329" s="7"/>
      <c r="G329" s="7"/>
      <c r="H329" s="7"/>
      <c r="I329" s="7"/>
    </row>
    <row r="330" spans="1:9" x14ac:dyDescent="0.1">
      <c r="A330" t="s">
        <v>1034</v>
      </c>
      <c r="B330" t="s">
        <v>1035</v>
      </c>
      <c r="C330">
        <v>5</v>
      </c>
      <c r="E330" s="48" t="s">
        <v>1036</v>
      </c>
      <c r="F330" s="48" t="s">
        <v>1037</v>
      </c>
      <c r="G330" s="48" t="s">
        <v>1038</v>
      </c>
      <c r="H330" s="48">
        <v>1</v>
      </c>
    </row>
    <row r="331" spans="1:9" x14ac:dyDescent="0.1">
      <c r="A331" t="s">
        <v>183</v>
      </c>
      <c r="B331" t="s">
        <v>184</v>
      </c>
      <c r="C331">
        <v>5</v>
      </c>
      <c r="E331" s="48" t="s">
        <v>1039</v>
      </c>
      <c r="F331" s="48" t="s">
        <v>1037</v>
      </c>
      <c r="G331" s="48" t="s">
        <v>1040</v>
      </c>
      <c r="H331" s="48">
        <v>5</v>
      </c>
    </row>
    <row r="332" spans="1:9" x14ac:dyDescent="0.1">
      <c r="A332" t="s">
        <v>1041</v>
      </c>
      <c r="B332" t="s">
        <v>1042</v>
      </c>
      <c r="C332">
        <v>5</v>
      </c>
      <c r="E332" s="48" t="s">
        <v>1043</v>
      </c>
      <c r="F332" s="48" t="s">
        <v>1037</v>
      </c>
      <c r="G332" s="48" t="s">
        <v>1044</v>
      </c>
      <c r="H332" s="48">
        <v>5</v>
      </c>
    </row>
    <row r="333" spans="1:9" x14ac:dyDescent="0.1">
      <c r="A333" t="s">
        <v>1045</v>
      </c>
      <c r="B333" t="s">
        <v>1046</v>
      </c>
      <c r="C333">
        <v>5</v>
      </c>
      <c r="E333" s="48" t="s">
        <v>1047</v>
      </c>
      <c r="F333" s="48" t="s">
        <v>1037</v>
      </c>
      <c r="G333" s="48" t="s">
        <v>1048</v>
      </c>
      <c r="H333" s="48">
        <v>10</v>
      </c>
    </row>
    <row r="334" spans="1:9" x14ac:dyDescent="0.1">
      <c r="A334" t="s">
        <v>178</v>
      </c>
      <c r="B334" t="s">
        <v>1049</v>
      </c>
      <c r="C334">
        <v>5</v>
      </c>
      <c r="E334" s="48" t="s">
        <v>1050</v>
      </c>
      <c r="F334" s="48" t="s">
        <v>1037</v>
      </c>
      <c r="G334" s="48" t="s">
        <v>1051</v>
      </c>
      <c r="H334" s="48">
        <v>10</v>
      </c>
    </row>
    <row r="335" spans="1:9" x14ac:dyDescent="0.1">
      <c r="A335" t="s">
        <v>1052</v>
      </c>
      <c r="B335" t="s">
        <v>1053</v>
      </c>
      <c r="C335">
        <v>5</v>
      </c>
      <c r="E335" s="48" t="s">
        <v>1054</v>
      </c>
      <c r="F335" s="48" t="s">
        <v>1037</v>
      </c>
      <c r="G335" s="48" t="s">
        <v>1055</v>
      </c>
      <c r="H335" s="48">
        <v>10</v>
      </c>
    </row>
    <row r="336" spans="1:9" x14ac:dyDescent="0.1">
      <c r="A336" t="s">
        <v>1056</v>
      </c>
      <c r="B336" t="s">
        <v>1057</v>
      </c>
      <c r="C336">
        <v>5</v>
      </c>
      <c r="E336" s="48" t="s">
        <v>1058</v>
      </c>
      <c r="F336" s="48" t="s">
        <v>1037</v>
      </c>
      <c r="G336" s="48" t="s">
        <v>1059</v>
      </c>
      <c r="H336" s="48">
        <v>15</v>
      </c>
    </row>
    <row r="337" spans="1:9" x14ac:dyDescent="0.1">
      <c r="A337" t="s">
        <v>1060</v>
      </c>
      <c r="B337" t="s">
        <v>1061</v>
      </c>
      <c r="C337">
        <v>5</v>
      </c>
      <c r="E337" s="48" t="s">
        <v>1062</v>
      </c>
      <c r="F337" s="48" t="s">
        <v>1037</v>
      </c>
      <c r="G337" s="48" t="s">
        <v>1063</v>
      </c>
      <c r="H337" s="48">
        <v>20</v>
      </c>
    </row>
    <row r="338" spans="1:9" x14ac:dyDescent="0.1">
      <c r="A338" t="s">
        <v>1064</v>
      </c>
      <c r="B338" t="s">
        <v>1065</v>
      </c>
      <c r="C338">
        <v>5</v>
      </c>
      <c r="E338" s="48" t="s">
        <v>1066</v>
      </c>
      <c r="F338" s="48" t="s">
        <v>1037</v>
      </c>
      <c r="G338" s="48" t="s">
        <v>1067</v>
      </c>
      <c r="H338" s="48">
        <v>20</v>
      </c>
    </row>
    <row r="339" spans="1:9" x14ac:dyDescent="0.1">
      <c r="A339" t="s">
        <v>1068</v>
      </c>
      <c r="B339" t="s">
        <v>1069</v>
      </c>
      <c r="C339">
        <v>5</v>
      </c>
      <c r="E339" s="48" t="s">
        <v>1070</v>
      </c>
      <c r="F339" s="48" t="s">
        <v>1037</v>
      </c>
      <c r="G339" s="48" t="s">
        <v>1071</v>
      </c>
      <c r="H339" s="48">
        <v>20</v>
      </c>
    </row>
    <row r="340" spans="1:9" x14ac:dyDescent="0.1">
      <c r="A340" t="s">
        <v>1072</v>
      </c>
      <c r="B340" t="s">
        <v>1073</v>
      </c>
      <c r="C340">
        <v>5</v>
      </c>
      <c r="E340" s="48" t="s">
        <v>1074</v>
      </c>
      <c r="F340" s="48" t="s">
        <v>1037</v>
      </c>
      <c r="G340" s="48" t="s">
        <v>1075</v>
      </c>
      <c r="H340" s="48">
        <v>20</v>
      </c>
    </row>
    <row r="341" spans="1:9" x14ac:dyDescent="0.1">
      <c r="A341" t="s">
        <v>1076</v>
      </c>
      <c r="B341" t="s">
        <v>1077</v>
      </c>
      <c r="C341">
        <v>5</v>
      </c>
      <c r="E341" s="48" t="s">
        <v>1078</v>
      </c>
      <c r="F341" s="48" t="s">
        <v>1037</v>
      </c>
      <c r="G341" s="48" t="s">
        <v>1079</v>
      </c>
      <c r="H341" s="48">
        <v>20</v>
      </c>
    </row>
    <row r="342" spans="1:9" x14ac:dyDescent="0.1">
      <c r="A342" t="s">
        <v>1080</v>
      </c>
      <c r="B342" t="s">
        <v>1081</v>
      </c>
      <c r="C342">
        <v>30</v>
      </c>
      <c r="E342" s="48" t="s">
        <v>1082</v>
      </c>
      <c r="F342" s="48" t="s">
        <v>1037</v>
      </c>
      <c r="G342" s="48" t="s">
        <v>1083</v>
      </c>
      <c r="H342" s="48">
        <v>20</v>
      </c>
    </row>
    <row r="343" spans="1:9" x14ac:dyDescent="0.1">
      <c r="A343" t="s">
        <v>1084</v>
      </c>
      <c r="B343" t="s">
        <v>1085</v>
      </c>
      <c r="C343">
        <v>30</v>
      </c>
      <c r="E343" s="48" t="s">
        <v>1086</v>
      </c>
      <c r="F343" s="48" t="s">
        <v>1037</v>
      </c>
      <c r="G343" s="48" t="s">
        <v>1087</v>
      </c>
      <c r="H343" s="48">
        <v>20</v>
      </c>
      <c r="I343" t="str">
        <f>IF(装备!$A18&lt;&gt;0,IF(装备!$E18&lt;&gt;0,VLOOKUP(装备!$A18,$A$330:$C$475,2,0)&amp;VLOOKUP(装备!E18,$A$306:$C$318,2,0),VLOOKUP(装备!$A18,$A$330:$C$475,2,0)),"")</f>
        <v/>
      </c>
    </row>
    <row r="344" spans="1:9" x14ac:dyDescent="0.1">
      <c r="A344" s="49" t="s">
        <v>1088</v>
      </c>
      <c r="B344" s="50" t="s">
        <v>1089</v>
      </c>
      <c r="C344" s="49">
        <v>30</v>
      </c>
      <c r="E344" s="48" t="s">
        <v>1090</v>
      </c>
      <c r="F344" s="48" t="s">
        <v>1037</v>
      </c>
      <c r="G344" s="48" t="s">
        <v>1048</v>
      </c>
      <c r="H344" s="48">
        <v>25</v>
      </c>
      <c r="I344" t="str">
        <f>IF(装备!$A19&lt;&gt;0,IF(装备!$E19&lt;&gt;0,VLOOKUP(装备!$A19,$A$330:$C$475,2,0)&amp;VLOOKUP(装备!E19,$A$306:$C$318,2,0),VLOOKUP(装备!$A19,$A$330:$C$475,2,0)),"")</f>
        <v/>
      </c>
    </row>
    <row r="345" spans="1:9" x14ac:dyDescent="0.1">
      <c r="A345" s="49" t="s">
        <v>1091</v>
      </c>
      <c r="B345" s="50" t="s">
        <v>1092</v>
      </c>
      <c r="C345" s="49">
        <v>30</v>
      </c>
      <c r="E345" s="48" t="s">
        <v>1093</v>
      </c>
      <c r="F345" s="48" t="s">
        <v>1037</v>
      </c>
      <c r="G345" s="48" t="s">
        <v>1094</v>
      </c>
      <c r="H345" s="48">
        <v>30</v>
      </c>
      <c r="I345" t="str">
        <f>IF(装备!$A20&lt;&gt;0,IF(装备!$E20&lt;&gt;0,VLOOKUP(装备!$A20,$A$330:$C$475,2,0)&amp;VLOOKUP(装备!E20,$A$306:$C$318,2,0),VLOOKUP(装备!$A20,$A$330:$C$475,2,0)),"")</f>
        <v/>
      </c>
    </row>
    <row r="346" spans="1:9" x14ac:dyDescent="0.1">
      <c r="A346" s="49" t="s">
        <v>1095</v>
      </c>
      <c r="B346" s="50" t="s">
        <v>1096</v>
      </c>
      <c r="C346" s="49">
        <v>30</v>
      </c>
      <c r="E346" s="48" t="s">
        <v>1097</v>
      </c>
      <c r="F346" s="48" t="s">
        <v>1037</v>
      </c>
      <c r="G346" s="48" t="s">
        <v>1098</v>
      </c>
      <c r="H346" s="48">
        <v>30</v>
      </c>
      <c r="I346" t="str">
        <f>IF(装备!$A21&lt;&gt;0,IF(装备!$E21&lt;&gt;0,VLOOKUP(装备!$A21,$A$330:$C$475,2,0)&amp;VLOOKUP(装备!E21,$A$306:$C$318,2,0),VLOOKUP(装备!$A21,$A$330:$C$475,2,0)),"")</f>
        <v/>
      </c>
    </row>
    <row r="347" spans="1:9" x14ac:dyDescent="0.1">
      <c r="A347" s="49" t="s">
        <v>1099</v>
      </c>
      <c r="B347" s="50" t="s">
        <v>1100</v>
      </c>
      <c r="C347" s="49">
        <v>30</v>
      </c>
      <c r="E347" s="48" t="s">
        <v>1101</v>
      </c>
      <c r="F347" s="48" t="s">
        <v>1037</v>
      </c>
      <c r="G347" s="48" t="s">
        <v>1102</v>
      </c>
      <c r="H347" s="48">
        <v>30</v>
      </c>
      <c r="I347" t="str">
        <f>IF(装备!$A22&lt;&gt;0,IF(装备!$E22&lt;&gt;0,VLOOKUP(装备!$A22,$A$330:$C$475,2,0)&amp;VLOOKUP(装备!E22,$A$306:$C$318,2,0),VLOOKUP(装备!$A22,$A$330:$C$475,2,0)),"")</f>
        <v/>
      </c>
    </row>
    <row r="348" spans="1:9" x14ac:dyDescent="0.1">
      <c r="A348" s="49" t="s">
        <v>1103</v>
      </c>
      <c r="B348" s="50" t="s">
        <v>1104</v>
      </c>
      <c r="C348" s="49">
        <v>30</v>
      </c>
      <c r="E348" s="48" t="s">
        <v>1105</v>
      </c>
      <c r="F348" s="48" t="s">
        <v>1037</v>
      </c>
      <c r="G348" s="48" t="s">
        <v>1106</v>
      </c>
      <c r="H348" s="48">
        <v>30</v>
      </c>
      <c r="I348" t="str">
        <f>IF(装备!$A23&lt;&gt;0,IF(装备!$E23&lt;&gt;0,VLOOKUP(装备!$A23,$A$330:$C$475,2,0)&amp;VLOOKUP(装备!E23,$A$306:$C$318,2,0),VLOOKUP(装备!$A23,$A$330:$C$475,2,0)),"")</f>
        <v/>
      </c>
    </row>
    <row r="349" spans="1:9" x14ac:dyDescent="0.1">
      <c r="A349" s="49" t="s">
        <v>1107</v>
      </c>
      <c r="B349" s="50" t="s">
        <v>1081</v>
      </c>
      <c r="C349" s="49">
        <v>30</v>
      </c>
      <c r="E349" s="48" t="s">
        <v>1108</v>
      </c>
      <c r="F349" s="48" t="s">
        <v>1037</v>
      </c>
      <c r="G349" s="48" t="s">
        <v>1109</v>
      </c>
      <c r="H349" s="48">
        <v>40</v>
      </c>
      <c r="I349" t="str">
        <f>IF(装备!$A24&lt;&gt;0,IF(装备!$E24&lt;&gt;0,VLOOKUP(装备!$A24,$A$330:$C$475,2,0)&amp;VLOOKUP(装备!E24,$A$306:$C$318,2,0),VLOOKUP(装备!$A24,$A$330:$C$475,2,0)),"")</f>
        <v/>
      </c>
    </row>
    <row r="350" spans="1:9" x14ac:dyDescent="0.1">
      <c r="A350" t="s">
        <v>1110</v>
      </c>
      <c r="B350" t="s">
        <v>1111</v>
      </c>
      <c r="C350">
        <v>30</v>
      </c>
      <c r="E350" s="48" t="s">
        <v>1112</v>
      </c>
      <c r="F350" s="48" t="s">
        <v>1037</v>
      </c>
      <c r="G350" s="48" t="s">
        <v>1113</v>
      </c>
      <c r="H350" s="48">
        <v>40</v>
      </c>
      <c r="I350" t="str">
        <f>IF(装备!$A25&lt;&gt;0,IF(装备!$E25&lt;&gt;0,VLOOKUP(装备!$A25,$A$330:$C$475,2,0)&amp;VLOOKUP(装备!E25,$A$306:$C$318,2,0),VLOOKUP(装备!$A25,$A$330:$C$475,2,0)),"")</f>
        <v/>
      </c>
    </row>
    <row r="351" spans="1:9" x14ac:dyDescent="0.1">
      <c r="A351" t="s">
        <v>1114</v>
      </c>
      <c r="B351" t="s">
        <v>1115</v>
      </c>
      <c r="C351">
        <v>30</v>
      </c>
      <c r="E351" s="48" t="s">
        <v>1116</v>
      </c>
      <c r="F351" s="48" t="s">
        <v>1037</v>
      </c>
      <c r="G351" s="48" t="s">
        <v>1117</v>
      </c>
      <c r="H351" s="48">
        <v>50</v>
      </c>
    </row>
    <row r="352" spans="1:9" x14ac:dyDescent="0.1">
      <c r="A352" t="s">
        <v>1118</v>
      </c>
      <c r="B352" t="s">
        <v>1119</v>
      </c>
      <c r="C352">
        <v>30</v>
      </c>
      <c r="E352" s="48" t="s">
        <v>1120</v>
      </c>
      <c r="F352" s="48" t="s">
        <v>1037</v>
      </c>
      <c r="G352" s="48" t="s">
        <v>1048</v>
      </c>
      <c r="H352" s="48">
        <v>50</v>
      </c>
    </row>
    <row r="353" spans="1:8" x14ac:dyDescent="0.1">
      <c r="A353" t="s">
        <v>1121</v>
      </c>
      <c r="B353" t="s">
        <v>1122</v>
      </c>
      <c r="C353">
        <v>30</v>
      </c>
      <c r="E353" s="48" t="s">
        <v>1123</v>
      </c>
      <c r="F353" s="48" t="s">
        <v>1037</v>
      </c>
      <c r="G353" s="48" t="s">
        <v>1124</v>
      </c>
      <c r="H353" s="48">
        <v>50</v>
      </c>
    </row>
    <row r="354" spans="1:8" x14ac:dyDescent="0.1">
      <c r="A354" t="s">
        <v>1125</v>
      </c>
      <c r="B354" t="s">
        <v>1126</v>
      </c>
      <c r="C354">
        <v>30</v>
      </c>
      <c r="E354" s="48" t="s">
        <v>1127</v>
      </c>
      <c r="F354" s="48" t="s">
        <v>1128</v>
      </c>
      <c r="G354" s="48" t="s">
        <v>1129</v>
      </c>
      <c r="H354" s="48">
        <v>50</v>
      </c>
    </row>
    <row r="355" spans="1:8" x14ac:dyDescent="0.1">
      <c r="A355" t="s">
        <v>1130</v>
      </c>
      <c r="B355" t="s">
        <v>1131</v>
      </c>
      <c r="C355">
        <v>30</v>
      </c>
      <c r="E355" s="48" t="s">
        <v>1132</v>
      </c>
      <c r="F355" s="48" t="s">
        <v>1037</v>
      </c>
      <c r="G355" s="48" t="s">
        <v>1133</v>
      </c>
      <c r="H355" s="48">
        <v>50</v>
      </c>
    </row>
    <row r="356" spans="1:8" x14ac:dyDescent="0.1">
      <c r="A356" t="s">
        <v>1134</v>
      </c>
      <c r="B356" t="s">
        <v>1135</v>
      </c>
      <c r="C356">
        <v>30</v>
      </c>
      <c r="E356" s="48" t="s">
        <v>1136</v>
      </c>
      <c r="F356" s="48" t="s">
        <v>1037</v>
      </c>
      <c r="G356" s="48" t="s">
        <v>1137</v>
      </c>
      <c r="H356" s="48">
        <v>50</v>
      </c>
    </row>
    <row r="357" spans="1:8" x14ac:dyDescent="0.1">
      <c r="A357" t="s">
        <v>1138</v>
      </c>
      <c r="B357" t="s">
        <v>1139</v>
      </c>
      <c r="C357">
        <v>30</v>
      </c>
      <c r="E357" s="48" t="s">
        <v>1140</v>
      </c>
      <c r="F357" s="48" t="s">
        <v>1037</v>
      </c>
      <c r="G357" s="48" t="s">
        <v>1141</v>
      </c>
      <c r="H357" s="48">
        <v>50</v>
      </c>
    </row>
    <row r="358" spans="1:8" x14ac:dyDescent="0.1">
      <c r="A358" t="s">
        <v>1142</v>
      </c>
      <c r="B358" t="s">
        <v>1143</v>
      </c>
      <c r="C358">
        <v>30</v>
      </c>
      <c r="E358" s="48" t="s">
        <v>1144</v>
      </c>
      <c r="F358" s="48" t="s">
        <v>1128</v>
      </c>
      <c r="G358" s="48" t="s">
        <v>1145</v>
      </c>
      <c r="H358" s="48">
        <v>50</v>
      </c>
    </row>
    <row r="359" spans="1:8" x14ac:dyDescent="0.1">
      <c r="A359" t="s">
        <v>1146</v>
      </c>
      <c r="B359" t="s">
        <v>1147</v>
      </c>
      <c r="C359">
        <v>150</v>
      </c>
      <c r="E359" s="48" t="s">
        <v>1148</v>
      </c>
      <c r="F359" s="48" t="s">
        <v>1037</v>
      </c>
      <c r="G359" s="48" t="s">
        <v>1149</v>
      </c>
      <c r="H359" s="48">
        <v>50</v>
      </c>
    </row>
    <row r="360" spans="1:8" x14ac:dyDescent="0.1">
      <c r="A360" t="s">
        <v>1150</v>
      </c>
      <c r="B360" t="s">
        <v>1151</v>
      </c>
      <c r="C360">
        <v>150</v>
      </c>
      <c r="E360" s="48" t="s">
        <v>1152</v>
      </c>
      <c r="F360" s="48" t="s">
        <v>1037</v>
      </c>
      <c r="G360" s="48" t="s">
        <v>1153</v>
      </c>
      <c r="H360" s="48">
        <v>50</v>
      </c>
    </row>
    <row r="361" spans="1:8" x14ac:dyDescent="0.1">
      <c r="A361" t="s">
        <v>1154</v>
      </c>
      <c r="B361" t="s">
        <v>1155</v>
      </c>
      <c r="C361">
        <v>150</v>
      </c>
      <c r="E361" s="48" t="s">
        <v>1156</v>
      </c>
      <c r="F361" s="48" t="s">
        <v>1037</v>
      </c>
      <c r="G361" s="48" t="s">
        <v>1157</v>
      </c>
      <c r="H361" s="48">
        <v>50</v>
      </c>
    </row>
    <row r="362" spans="1:8" x14ac:dyDescent="0.1">
      <c r="A362" t="s">
        <v>1158</v>
      </c>
      <c r="B362" t="s">
        <v>1159</v>
      </c>
      <c r="C362">
        <v>150</v>
      </c>
      <c r="E362" s="48" t="s">
        <v>1160</v>
      </c>
      <c r="F362" s="48" t="s">
        <v>1037</v>
      </c>
      <c r="G362" s="48" t="s">
        <v>1161</v>
      </c>
      <c r="H362" s="48">
        <v>50</v>
      </c>
    </row>
    <row r="363" spans="1:8" x14ac:dyDescent="0.1">
      <c r="A363" t="s">
        <v>1162</v>
      </c>
      <c r="B363" t="s">
        <v>1122</v>
      </c>
      <c r="C363">
        <v>150</v>
      </c>
      <c r="E363" s="48" t="s">
        <v>1163</v>
      </c>
      <c r="F363" s="48" t="s">
        <v>1037</v>
      </c>
      <c r="G363" s="48" t="s">
        <v>1164</v>
      </c>
      <c r="H363" s="48">
        <v>50</v>
      </c>
    </row>
    <row r="364" spans="1:8" x14ac:dyDescent="0.1">
      <c r="A364" t="s">
        <v>1165</v>
      </c>
      <c r="B364" t="s">
        <v>1166</v>
      </c>
      <c r="C364">
        <v>150</v>
      </c>
      <c r="E364" s="48" t="s">
        <v>1167</v>
      </c>
      <c r="F364" s="48" t="s">
        <v>1037</v>
      </c>
      <c r="G364" s="48" t="s">
        <v>1168</v>
      </c>
      <c r="H364" s="48">
        <v>50</v>
      </c>
    </row>
    <row r="365" spans="1:8" x14ac:dyDescent="0.1">
      <c r="A365" t="s">
        <v>1169</v>
      </c>
      <c r="B365" t="s">
        <v>1170</v>
      </c>
      <c r="C365">
        <v>150</v>
      </c>
      <c r="E365" s="48" t="s">
        <v>1171</v>
      </c>
      <c r="F365" s="48" t="s">
        <v>1037</v>
      </c>
      <c r="G365" s="48" t="s">
        <v>1172</v>
      </c>
      <c r="H365" s="48">
        <v>50</v>
      </c>
    </row>
    <row r="366" spans="1:8" x14ac:dyDescent="0.1">
      <c r="A366" t="s">
        <v>1173</v>
      </c>
      <c r="B366" t="s">
        <v>1174</v>
      </c>
      <c r="C366">
        <v>150</v>
      </c>
      <c r="E366" s="48" t="s">
        <v>1175</v>
      </c>
      <c r="F366" s="48" t="s">
        <v>1037</v>
      </c>
      <c r="G366" s="48" t="s">
        <v>1059</v>
      </c>
      <c r="H366" s="48">
        <v>60</v>
      </c>
    </row>
    <row r="367" spans="1:8" x14ac:dyDescent="0.1">
      <c r="A367" t="s">
        <v>1176</v>
      </c>
      <c r="B367" t="s">
        <v>1177</v>
      </c>
      <c r="C367">
        <v>150</v>
      </c>
      <c r="E367" s="48" t="s">
        <v>1178</v>
      </c>
      <c r="F367" s="48" t="s">
        <v>1128</v>
      </c>
      <c r="G367" s="48" t="s">
        <v>1179</v>
      </c>
      <c r="H367" s="48">
        <v>75</v>
      </c>
    </row>
    <row r="368" spans="1:8" x14ac:dyDescent="0.1">
      <c r="A368" t="s">
        <v>1180</v>
      </c>
      <c r="B368" t="s">
        <v>1181</v>
      </c>
      <c r="C368">
        <v>150</v>
      </c>
      <c r="E368" s="48" t="s">
        <v>1182</v>
      </c>
      <c r="F368" s="48" t="s">
        <v>1037</v>
      </c>
      <c r="G368" s="48" t="s">
        <v>1183</v>
      </c>
      <c r="H368" s="48">
        <v>75</v>
      </c>
    </row>
    <row r="369" spans="1:8" x14ac:dyDescent="0.1">
      <c r="A369" t="s">
        <v>1184</v>
      </c>
      <c r="B369" t="s">
        <v>1185</v>
      </c>
      <c r="C369">
        <v>150</v>
      </c>
      <c r="E369" s="48" t="s">
        <v>1186</v>
      </c>
      <c r="F369" s="48" t="s">
        <v>1128</v>
      </c>
      <c r="G369" s="48" t="s">
        <v>1187</v>
      </c>
      <c r="H369" s="48">
        <v>100</v>
      </c>
    </row>
    <row r="370" spans="1:8" x14ac:dyDescent="0.1">
      <c r="A370" t="s">
        <v>1188</v>
      </c>
      <c r="B370" t="s">
        <v>1189</v>
      </c>
      <c r="C370">
        <v>300</v>
      </c>
      <c r="E370" s="48" t="s">
        <v>1190</v>
      </c>
      <c r="F370" s="48" t="s">
        <v>1128</v>
      </c>
      <c r="G370" s="48" t="s">
        <v>1187</v>
      </c>
      <c r="H370" s="48">
        <v>100</v>
      </c>
    </row>
    <row r="371" spans="1:8" x14ac:dyDescent="0.1">
      <c r="A371" t="s">
        <v>1191</v>
      </c>
      <c r="B371" t="s">
        <v>1192</v>
      </c>
      <c r="C371">
        <v>500</v>
      </c>
      <c r="E371" s="48" t="s">
        <v>1193</v>
      </c>
      <c r="F371" s="48" t="s">
        <v>1128</v>
      </c>
      <c r="G371" s="48" t="s">
        <v>1187</v>
      </c>
      <c r="H371" s="48">
        <v>100</v>
      </c>
    </row>
    <row r="372" spans="1:8" x14ac:dyDescent="0.1">
      <c r="A372" t="s">
        <v>1194</v>
      </c>
      <c r="B372" t="s">
        <v>1195</v>
      </c>
      <c r="C372">
        <v>1000</v>
      </c>
      <c r="E372" s="48" t="s">
        <v>1196</v>
      </c>
      <c r="F372" s="48" t="s">
        <v>1128</v>
      </c>
      <c r="G372" s="48" t="s">
        <v>1187</v>
      </c>
      <c r="H372" s="48">
        <v>100</v>
      </c>
    </row>
    <row r="373" spans="1:8" x14ac:dyDescent="0.1">
      <c r="A373" t="s">
        <v>1197</v>
      </c>
      <c r="B373" t="s">
        <v>1198</v>
      </c>
      <c r="C373">
        <v>100</v>
      </c>
      <c r="E373" s="48" t="s">
        <v>1199</v>
      </c>
      <c r="F373" s="48" t="s">
        <v>1128</v>
      </c>
      <c r="G373" s="48" t="s">
        <v>1187</v>
      </c>
      <c r="H373" s="48">
        <v>100</v>
      </c>
    </row>
    <row r="374" spans="1:8" x14ac:dyDescent="0.1">
      <c r="A374" t="s">
        <v>1200</v>
      </c>
      <c r="B374" t="s">
        <v>1201</v>
      </c>
      <c r="C374">
        <v>50</v>
      </c>
      <c r="E374" s="48" t="s">
        <v>1202</v>
      </c>
      <c r="F374" s="48" t="s">
        <v>1128</v>
      </c>
      <c r="G374" s="48" t="s">
        <v>1187</v>
      </c>
      <c r="H374" s="48">
        <v>100</v>
      </c>
    </row>
    <row r="375" spans="1:8" x14ac:dyDescent="0.1">
      <c r="A375" t="s">
        <v>1203</v>
      </c>
      <c r="B375" t="s">
        <v>1204</v>
      </c>
      <c r="C375">
        <v>500</v>
      </c>
      <c r="E375" s="48" t="s">
        <v>1205</v>
      </c>
      <c r="F375" s="48" t="s">
        <v>1128</v>
      </c>
      <c r="G375" s="48" t="s">
        <v>1187</v>
      </c>
      <c r="H375" s="48">
        <v>100</v>
      </c>
    </row>
    <row r="376" spans="1:8" x14ac:dyDescent="0.1">
      <c r="A376" t="s">
        <v>1206</v>
      </c>
      <c r="B376" t="s">
        <v>1207</v>
      </c>
      <c r="C376">
        <v>50</v>
      </c>
      <c r="E376" s="48" t="s">
        <v>1208</v>
      </c>
      <c r="F376" s="48" t="s">
        <v>1128</v>
      </c>
      <c r="G376" s="48" t="s">
        <v>1187</v>
      </c>
      <c r="H376" s="48">
        <v>100</v>
      </c>
    </row>
    <row r="377" spans="1:8" x14ac:dyDescent="0.1">
      <c r="A377" t="s">
        <v>1209</v>
      </c>
      <c r="B377" t="s">
        <v>1210</v>
      </c>
      <c r="C377">
        <v>5</v>
      </c>
      <c r="E377" s="48" t="s">
        <v>1211</v>
      </c>
      <c r="F377" s="48" t="s">
        <v>1128</v>
      </c>
      <c r="G377" s="48" t="s">
        <v>1187</v>
      </c>
      <c r="H377" s="48">
        <v>100</v>
      </c>
    </row>
    <row r="378" spans="1:8" x14ac:dyDescent="0.1">
      <c r="A378" t="s">
        <v>1212</v>
      </c>
      <c r="B378" t="s">
        <v>1213</v>
      </c>
      <c r="C378">
        <v>10</v>
      </c>
      <c r="E378" s="48" t="s">
        <v>1214</v>
      </c>
      <c r="F378" s="48" t="s">
        <v>1128</v>
      </c>
      <c r="G378" s="48" t="s">
        <v>1187</v>
      </c>
      <c r="H378" s="48">
        <v>100</v>
      </c>
    </row>
    <row r="379" spans="1:8" x14ac:dyDescent="0.1">
      <c r="A379" t="s">
        <v>1215</v>
      </c>
      <c r="B379" t="s">
        <v>1216</v>
      </c>
      <c r="C379">
        <v>45</v>
      </c>
      <c r="E379" s="48" t="s">
        <v>1217</v>
      </c>
      <c r="F379" s="48" t="s">
        <v>1128</v>
      </c>
      <c r="G379" s="48" t="s">
        <v>1187</v>
      </c>
      <c r="H379" s="48">
        <v>100</v>
      </c>
    </row>
    <row r="380" spans="1:8" x14ac:dyDescent="0.1">
      <c r="A380" t="s">
        <v>1218</v>
      </c>
      <c r="B380" t="s">
        <v>1219</v>
      </c>
      <c r="C380">
        <v>50</v>
      </c>
      <c r="E380" s="48" t="s">
        <v>1220</v>
      </c>
      <c r="F380" s="48" t="s">
        <v>1128</v>
      </c>
      <c r="G380" s="48" t="s">
        <v>1187</v>
      </c>
      <c r="H380" s="48">
        <v>100</v>
      </c>
    </row>
    <row r="381" spans="1:8" x14ac:dyDescent="0.1">
      <c r="A381" t="s">
        <v>1221</v>
      </c>
      <c r="B381" t="s">
        <v>1219</v>
      </c>
      <c r="C381">
        <v>150</v>
      </c>
      <c r="E381" s="48" t="s">
        <v>1222</v>
      </c>
      <c r="F381" s="48" t="s">
        <v>1037</v>
      </c>
      <c r="G381" s="48" t="s">
        <v>1223</v>
      </c>
      <c r="H381" s="48">
        <v>100</v>
      </c>
    </row>
    <row r="382" spans="1:8" x14ac:dyDescent="0.1">
      <c r="A382" t="s">
        <v>1224</v>
      </c>
      <c r="B382" t="s">
        <v>1225</v>
      </c>
      <c r="C382">
        <v>50</v>
      </c>
      <c r="E382" s="48" t="s">
        <v>1226</v>
      </c>
      <c r="F382" s="48" t="s">
        <v>1128</v>
      </c>
      <c r="G382" s="48" t="s">
        <v>1227</v>
      </c>
      <c r="H382" s="48">
        <v>100</v>
      </c>
    </row>
    <row r="383" spans="1:8" x14ac:dyDescent="0.1">
      <c r="A383" t="s">
        <v>1228</v>
      </c>
      <c r="B383" t="s">
        <v>1225</v>
      </c>
      <c r="C383">
        <v>150</v>
      </c>
      <c r="E383" s="48" t="s">
        <v>1229</v>
      </c>
      <c r="F383" s="48" t="s">
        <v>1037</v>
      </c>
      <c r="G383" s="48" t="s">
        <v>1230</v>
      </c>
      <c r="H383" s="48">
        <v>100</v>
      </c>
    </row>
    <row r="384" spans="1:8" x14ac:dyDescent="0.1">
      <c r="A384" t="s">
        <v>1231</v>
      </c>
      <c r="B384" t="s">
        <v>1232</v>
      </c>
      <c r="C384">
        <v>200</v>
      </c>
      <c r="E384" s="48" t="s">
        <v>1233</v>
      </c>
      <c r="F384" s="48" t="s">
        <v>1128</v>
      </c>
      <c r="G384" s="48" t="s">
        <v>1234</v>
      </c>
      <c r="H384" s="48">
        <v>100</v>
      </c>
    </row>
    <row r="385" spans="1:8" x14ac:dyDescent="0.1">
      <c r="A385" t="s">
        <v>1235</v>
      </c>
      <c r="B385" t="s">
        <v>1232</v>
      </c>
      <c r="C385">
        <v>600</v>
      </c>
      <c r="E385" s="48" t="s">
        <v>1236</v>
      </c>
      <c r="F385" s="48" t="s">
        <v>1037</v>
      </c>
      <c r="G385" s="48" t="s">
        <v>1237</v>
      </c>
      <c r="H385" s="48">
        <v>100</v>
      </c>
    </row>
    <row r="386" spans="1:8" x14ac:dyDescent="0.1">
      <c r="A386" t="s">
        <v>1238</v>
      </c>
      <c r="B386" t="s">
        <v>1239</v>
      </c>
      <c r="C386">
        <v>75</v>
      </c>
      <c r="E386" s="48" t="s">
        <v>1240</v>
      </c>
      <c r="F386" s="48" t="s">
        <v>1037</v>
      </c>
      <c r="G386" s="48" t="s">
        <v>1241</v>
      </c>
      <c r="H386" s="48">
        <v>100</v>
      </c>
    </row>
    <row r="387" spans="1:8" x14ac:dyDescent="0.1">
      <c r="A387" t="s">
        <v>1242</v>
      </c>
      <c r="B387" t="s">
        <v>1243</v>
      </c>
      <c r="C387">
        <v>150</v>
      </c>
      <c r="E387" s="48" t="s">
        <v>1244</v>
      </c>
      <c r="F387" s="48" t="s">
        <v>1037</v>
      </c>
      <c r="G387" s="48" t="s">
        <v>1245</v>
      </c>
      <c r="H387" s="48">
        <v>100</v>
      </c>
    </row>
    <row r="388" spans="1:8" x14ac:dyDescent="0.1">
      <c r="A388" t="s">
        <v>1246</v>
      </c>
      <c r="B388" t="s">
        <v>1247</v>
      </c>
      <c r="C388">
        <v>400</v>
      </c>
      <c r="E388" s="48" t="s">
        <v>1248</v>
      </c>
      <c r="F388" s="48" t="s">
        <v>1037</v>
      </c>
      <c r="G388" s="48" t="s">
        <v>1249</v>
      </c>
      <c r="H388" s="48">
        <v>100</v>
      </c>
    </row>
    <row r="389" spans="1:8" x14ac:dyDescent="0.1">
      <c r="A389" t="s">
        <v>1250</v>
      </c>
      <c r="B389" t="s">
        <v>1247</v>
      </c>
      <c r="C389">
        <v>1200</v>
      </c>
      <c r="E389" s="48" t="s">
        <v>1251</v>
      </c>
      <c r="F389" s="48" t="s">
        <v>1128</v>
      </c>
      <c r="G389" s="48" t="s">
        <v>1252</v>
      </c>
      <c r="H389" s="48">
        <v>100</v>
      </c>
    </row>
    <row r="390" spans="1:8" x14ac:dyDescent="0.1">
      <c r="A390" t="s">
        <v>100</v>
      </c>
      <c r="B390" t="s">
        <v>1253</v>
      </c>
      <c r="C390">
        <v>10</v>
      </c>
      <c r="E390" s="48" t="s">
        <v>1254</v>
      </c>
      <c r="F390" s="48" t="s">
        <v>1037</v>
      </c>
      <c r="G390" s="48" t="s">
        <v>1255</v>
      </c>
      <c r="H390" s="48">
        <v>100</v>
      </c>
    </row>
    <row r="391" spans="1:8" x14ac:dyDescent="0.1">
      <c r="A391" t="s">
        <v>1256</v>
      </c>
      <c r="C391">
        <v>2</v>
      </c>
      <c r="E391" s="48" t="s">
        <v>1257</v>
      </c>
      <c r="F391" s="48" t="s">
        <v>1037</v>
      </c>
      <c r="G391" s="48" t="s">
        <v>1258</v>
      </c>
      <c r="H391" s="48">
        <v>100</v>
      </c>
    </row>
    <row r="392" spans="1:8" x14ac:dyDescent="0.1">
      <c r="A392" t="s">
        <v>1259</v>
      </c>
      <c r="C392">
        <v>2</v>
      </c>
      <c r="E392" s="48" t="s">
        <v>1260</v>
      </c>
      <c r="F392" s="48" t="s">
        <v>1037</v>
      </c>
      <c r="G392" s="48" t="s">
        <v>1261</v>
      </c>
      <c r="H392" s="48">
        <v>100</v>
      </c>
    </row>
    <row r="393" spans="1:8" x14ac:dyDescent="0.1">
      <c r="A393" t="s">
        <v>1262</v>
      </c>
      <c r="C393">
        <v>2</v>
      </c>
      <c r="E393" s="48" t="s">
        <v>1263</v>
      </c>
      <c r="F393" s="48" t="s">
        <v>1037</v>
      </c>
      <c r="G393" s="48" t="s">
        <v>1264</v>
      </c>
      <c r="H393" s="48">
        <v>100</v>
      </c>
    </row>
    <row r="394" spans="1:8" x14ac:dyDescent="0.1">
      <c r="A394" t="s">
        <v>1265</v>
      </c>
      <c r="C394">
        <v>2</v>
      </c>
      <c r="E394" s="48" t="s">
        <v>1266</v>
      </c>
      <c r="F394" s="48" t="s">
        <v>1037</v>
      </c>
      <c r="G394" s="48" t="s">
        <v>1267</v>
      </c>
      <c r="H394" s="48">
        <v>100</v>
      </c>
    </row>
    <row r="395" spans="1:8" x14ac:dyDescent="0.1">
      <c r="A395" t="s">
        <v>1268</v>
      </c>
      <c r="C395">
        <v>2</v>
      </c>
      <c r="E395" s="48" t="s">
        <v>1269</v>
      </c>
      <c r="F395" s="48" t="s">
        <v>1128</v>
      </c>
      <c r="G395" s="48" t="s">
        <v>1270</v>
      </c>
      <c r="H395" s="48">
        <v>100</v>
      </c>
    </row>
    <row r="396" spans="1:8" x14ac:dyDescent="0.1">
      <c r="A396" t="s">
        <v>1271</v>
      </c>
      <c r="C396">
        <v>2</v>
      </c>
      <c r="E396" s="48" t="s">
        <v>1272</v>
      </c>
      <c r="F396" s="48" t="s">
        <v>1037</v>
      </c>
      <c r="G396" s="48" t="s">
        <v>1273</v>
      </c>
      <c r="H396" s="48">
        <v>100</v>
      </c>
    </row>
    <row r="397" spans="1:8" x14ac:dyDescent="0.1">
      <c r="A397" t="s">
        <v>1274</v>
      </c>
      <c r="C397">
        <v>2</v>
      </c>
      <c r="E397" s="48" t="s">
        <v>1275</v>
      </c>
      <c r="F397" s="48" t="s">
        <v>1037</v>
      </c>
      <c r="G397" s="48" t="s">
        <v>1276</v>
      </c>
      <c r="H397" s="48">
        <v>100</v>
      </c>
    </row>
    <row r="398" spans="1:8" x14ac:dyDescent="0.1">
      <c r="A398" t="s">
        <v>1277</v>
      </c>
      <c r="B398" t="s">
        <v>1278</v>
      </c>
      <c r="C398">
        <v>2</v>
      </c>
      <c r="E398" s="48" t="s">
        <v>1279</v>
      </c>
      <c r="F398" s="48" t="s">
        <v>1128</v>
      </c>
      <c r="G398" s="48" t="s">
        <v>1280</v>
      </c>
      <c r="H398" s="48">
        <v>100</v>
      </c>
    </row>
    <row r="399" spans="1:8" x14ac:dyDescent="0.1">
      <c r="A399" t="s">
        <v>1281</v>
      </c>
      <c r="C399">
        <v>2</v>
      </c>
      <c r="E399" s="48" t="s">
        <v>1282</v>
      </c>
      <c r="F399" s="48" t="s">
        <v>1128</v>
      </c>
      <c r="G399" s="48" t="s">
        <v>1283</v>
      </c>
      <c r="H399" s="48">
        <v>100</v>
      </c>
    </row>
    <row r="400" spans="1:8" x14ac:dyDescent="0.1">
      <c r="A400" t="s">
        <v>1284</v>
      </c>
      <c r="B400" t="s">
        <v>1285</v>
      </c>
      <c r="C400">
        <v>2</v>
      </c>
      <c r="E400" s="48" t="s">
        <v>1286</v>
      </c>
      <c r="F400" s="48" t="s">
        <v>1037</v>
      </c>
      <c r="G400" s="48" t="s">
        <v>1287</v>
      </c>
      <c r="H400" s="48">
        <v>100</v>
      </c>
    </row>
    <row r="401" spans="1:8" x14ac:dyDescent="0.1">
      <c r="A401" t="s">
        <v>1288</v>
      </c>
      <c r="B401" t="s">
        <v>1289</v>
      </c>
      <c r="C401">
        <v>2</v>
      </c>
      <c r="E401" s="48" t="s">
        <v>1290</v>
      </c>
      <c r="F401" s="48" t="s">
        <v>1037</v>
      </c>
      <c r="G401" s="48" t="s">
        <v>1291</v>
      </c>
      <c r="H401" s="48">
        <v>100</v>
      </c>
    </row>
    <row r="402" spans="1:8" x14ac:dyDescent="0.1">
      <c r="A402" t="s">
        <v>1292</v>
      </c>
      <c r="B402" t="s">
        <v>1293</v>
      </c>
      <c r="C402">
        <v>2</v>
      </c>
      <c r="E402" s="48" t="s">
        <v>1294</v>
      </c>
      <c r="F402" s="48" t="s">
        <v>1037</v>
      </c>
      <c r="G402" s="48" t="s">
        <v>1295</v>
      </c>
      <c r="H402" s="48">
        <v>100</v>
      </c>
    </row>
    <row r="403" spans="1:8" x14ac:dyDescent="0.1">
      <c r="A403" t="s">
        <v>1296</v>
      </c>
      <c r="B403" t="s">
        <v>1297</v>
      </c>
      <c r="C403">
        <v>2</v>
      </c>
      <c r="E403" s="48" t="s">
        <v>1298</v>
      </c>
      <c r="F403" s="48" t="s">
        <v>1037</v>
      </c>
      <c r="G403" s="48" t="s">
        <v>1299</v>
      </c>
      <c r="H403" s="48">
        <v>120</v>
      </c>
    </row>
    <row r="404" spans="1:8" x14ac:dyDescent="0.1">
      <c r="A404" t="s">
        <v>1300</v>
      </c>
      <c r="C404">
        <v>2</v>
      </c>
      <c r="E404" s="48" t="s">
        <v>1301</v>
      </c>
      <c r="F404" s="48" t="s">
        <v>1037</v>
      </c>
      <c r="G404" s="48" t="s">
        <v>1302</v>
      </c>
      <c r="H404" s="48">
        <v>120</v>
      </c>
    </row>
    <row r="405" spans="1:8" x14ac:dyDescent="0.1">
      <c r="A405" t="s">
        <v>1303</v>
      </c>
      <c r="C405">
        <v>2</v>
      </c>
      <c r="E405" s="48" t="s">
        <v>1304</v>
      </c>
      <c r="F405" s="48" t="s">
        <v>1037</v>
      </c>
      <c r="G405" s="48" t="s">
        <v>1305</v>
      </c>
      <c r="H405" s="48">
        <v>120</v>
      </c>
    </row>
    <row r="406" spans="1:8" x14ac:dyDescent="0.1">
      <c r="A406" t="s">
        <v>1306</v>
      </c>
      <c r="C406">
        <v>2</v>
      </c>
      <c r="E406" s="48" t="s">
        <v>1307</v>
      </c>
      <c r="F406" s="48" t="s">
        <v>1037</v>
      </c>
      <c r="G406" s="48" t="s">
        <v>1308</v>
      </c>
      <c r="H406" s="48">
        <v>125</v>
      </c>
    </row>
    <row r="407" spans="1:8" x14ac:dyDescent="0.1">
      <c r="A407" t="s">
        <v>1309</v>
      </c>
      <c r="C407">
        <v>2</v>
      </c>
      <c r="E407" s="48" t="s">
        <v>1310</v>
      </c>
      <c r="F407" s="48" t="s">
        <v>1037</v>
      </c>
      <c r="G407" s="48" t="s">
        <v>1311</v>
      </c>
      <c r="H407" s="48">
        <v>150</v>
      </c>
    </row>
    <row r="408" spans="1:8" x14ac:dyDescent="0.1">
      <c r="A408" t="s">
        <v>1312</v>
      </c>
      <c r="C408">
        <v>2</v>
      </c>
      <c r="E408" s="48" t="s">
        <v>1313</v>
      </c>
      <c r="F408" s="48" t="s">
        <v>1037</v>
      </c>
      <c r="G408" s="48" t="s">
        <v>1048</v>
      </c>
      <c r="H408" s="48">
        <v>150</v>
      </c>
    </row>
    <row r="409" spans="1:8" x14ac:dyDescent="0.1">
      <c r="A409" t="s">
        <v>1314</v>
      </c>
      <c r="C409">
        <v>2</v>
      </c>
      <c r="E409" s="48" t="s">
        <v>1315</v>
      </c>
      <c r="F409" s="48" t="s">
        <v>1037</v>
      </c>
      <c r="G409" s="48" t="s">
        <v>1316</v>
      </c>
      <c r="H409" s="48">
        <v>150</v>
      </c>
    </row>
    <row r="410" spans="1:8" x14ac:dyDescent="0.1">
      <c r="A410" t="s">
        <v>1317</v>
      </c>
      <c r="C410">
        <v>2</v>
      </c>
      <c r="E410" s="48" t="s">
        <v>1318</v>
      </c>
      <c r="F410" s="48" t="s">
        <v>1037</v>
      </c>
      <c r="G410" s="48" t="s">
        <v>1319</v>
      </c>
      <c r="H410" s="48">
        <v>150</v>
      </c>
    </row>
    <row r="411" spans="1:8" x14ac:dyDescent="0.1">
      <c r="A411" t="s">
        <v>1320</v>
      </c>
      <c r="C411">
        <v>2</v>
      </c>
      <c r="E411" s="48" t="s">
        <v>1321</v>
      </c>
      <c r="F411" s="48" t="s">
        <v>1128</v>
      </c>
      <c r="G411" s="48" t="s">
        <v>1322</v>
      </c>
      <c r="H411" s="48">
        <v>150</v>
      </c>
    </row>
    <row r="412" spans="1:8" x14ac:dyDescent="0.1">
      <c r="A412" t="s">
        <v>1323</v>
      </c>
      <c r="C412">
        <v>2</v>
      </c>
      <c r="E412" s="48" t="s">
        <v>1324</v>
      </c>
      <c r="F412" s="48" t="s">
        <v>1128</v>
      </c>
      <c r="G412" s="48" t="s">
        <v>1325</v>
      </c>
      <c r="H412" s="48">
        <v>150</v>
      </c>
    </row>
    <row r="413" spans="1:8" x14ac:dyDescent="0.1">
      <c r="A413" t="s">
        <v>1326</v>
      </c>
      <c r="C413">
        <v>2</v>
      </c>
      <c r="E413" s="48" t="s">
        <v>1327</v>
      </c>
      <c r="F413" s="48" t="s">
        <v>1037</v>
      </c>
      <c r="G413" s="48" t="s">
        <v>1328</v>
      </c>
      <c r="H413" s="48">
        <v>150</v>
      </c>
    </row>
    <row r="414" spans="1:8" x14ac:dyDescent="0.1">
      <c r="A414" t="s">
        <v>1329</v>
      </c>
      <c r="B414" t="s">
        <v>1330</v>
      </c>
      <c r="C414">
        <v>2</v>
      </c>
      <c r="E414" s="48" t="s">
        <v>1331</v>
      </c>
      <c r="F414" s="48" t="s">
        <v>1037</v>
      </c>
      <c r="G414" s="48" t="s">
        <v>1332</v>
      </c>
      <c r="H414" s="48">
        <v>150</v>
      </c>
    </row>
    <row r="415" spans="1:8" x14ac:dyDescent="0.1">
      <c r="A415" t="s">
        <v>1333</v>
      </c>
      <c r="C415">
        <v>2</v>
      </c>
      <c r="E415" s="48" t="s">
        <v>1334</v>
      </c>
      <c r="F415" s="48" t="s">
        <v>1037</v>
      </c>
      <c r="G415" s="48" t="s">
        <v>1335</v>
      </c>
      <c r="H415" s="48">
        <v>150</v>
      </c>
    </row>
    <row r="416" spans="1:8" x14ac:dyDescent="0.1">
      <c r="A416" t="s">
        <v>1336</v>
      </c>
      <c r="C416">
        <v>2</v>
      </c>
      <c r="E416" s="48" t="s">
        <v>1337</v>
      </c>
      <c r="F416" s="48" t="s">
        <v>1037</v>
      </c>
      <c r="G416" s="48" t="s">
        <v>1338</v>
      </c>
      <c r="H416" s="48">
        <v>150</v>
      </c>
    </row>
    <row r="417" spans="1:8" x14ac:dyDescent="0.1">
      <c r="A417" t="s">
        <v>1339</v>
      </c>
      <c r="C417">
        <v>2</v>
      </c>
      <c r="E417" s="48" t="s">
        <v>1340</v>
      </c>
      <c r="F417" s="48" t="s">
        <v>1037</v>
      </c>
      <c r="G417" s="48" t="s">
        <v>1341</v>
      </c>
      <c r="H417" s="48">
        <v>150</v>
      </c>
    </row>
    <row r="418" spans="1:8" x14ac:dyDescent="0.1">
      <c r="A418" t="s">
        <v>1342</v>
      </c>
      <c r="C418">
        <v>2</v>
      </c>
      <c r="E418" s="48" t="s">
        <v>1343</v>
      </c>
      <c r="F418" s="48" t="s">
        <v>1037</v>
      </c>
      <c r="G418" s="48" t="s">
        <v>1344</v>
      </c>
      <c r="H418" s="48">
        <v>150</v>
      </c>
    </row>
    <row r="419" spans="1:8" x14ac:dyDescent="0.1">
      <c r="A419" t="s">
        <v>1345</v>
      </c>
      <c r="B419" t="s">
        <v>1346</v>
      </c>
      <c r="C419">
        <v>2</v>
      </c>
      <c r="E419" s="48" t="s">
        <v>1347</v>
      </c>
      <c r="F419" s="48" t="s">
        <v>1037</v>
      </c>
      <c r="G419" s="48" t="s">
        <v>1348</v>
      </c>
      <c r="H419" s="48">
        <v>150</v>
      </c>
    </row>
    <row r="420" spans="1:8" x14ac:dyDescent="0.1">
      <c r="A420" t="s">
        <v>1349</v>
      </c>
      <c r="B420" t="s">
        <v>1350</v>
      </c>
      <c r="C420">
        <v>2</v>
      </c>
      <c r="E420" s="48" t="s">
        <v>1351</v>
      </c>
      <c r="F420" s="48" t="s">
        <v>1037</v>
      </c>
      <c r="G420" s="48" t="s">
        <v>1352</v>
      </c>
      <c r="H420" s="48">
        <v>150</v>
      </c>
    </row>
    <row r="421" spans="1:8" x14ac:dyDescent="0.1">
      <c r="A421" t="s">
        <v>1353</v>
      </c>
      <c r="B421" t="s">
        <v>1354</v>
      </c>
      <c r="C421">
        <v>2</v>
      </c>
      <c r="E421" s="48" t="s">
        <v>1355</v>
      </c>
      <c r="F421" s="48" t="s">
        <v>1037</v>
      </c>
      <c r="G421" s="48" t="s">
        <v>1356</v>
      </c>
      <c r="H421" s="48">
        <v>150</v>
      </c>
    </row>
    <row r="422" spans="1:8" x14ac:dyDescent="0.1">
      <c r="A422" t="s">
        <v>1357</v>
      </c>
      <c r="B422" t="s">
        <v>1358</v>
      </c>
      <c r="C422">
        <v>2</v>
      </c>
      <c r="E422" s="48" t="s">
        <v>1359</v>
      </c>
      <c r="F422" s="48" t="s">
        <v>1037</v>
      </c>
      <c r="G422" s="48" t="s">
        <v>1360</v>
      </c>
      <c r="H422" s="48">
        <v>150</v>
      </c>
    </row>
    <row r="423" spans="1:8" x14ac:dyDescent="0.1">
      <c r="A423" t="s">
        <v>1361</v>
      </c>
      <c r="B423" t="s">
        <v>1362</v>
      </c>
      <c r="C423">
        <v>2</v>
      </c>
      <c r="E423" s="48" t="s">
        <v>1363</v>
      </c>
      <c r="F423" s="48" t="s">
        <v>1037</v>
      </c>
      <c r="G423" s="48" t="s">
        <v>1364</v>
      </c>
      <c r="H423" s="48">
        <v>150</v>
      </c>
    </row>
    <row r="424" spans="1:8" x14ac:dyDescent="0.1">
      <c r="A424" t="s">
        <v>1365</v>
      </c>
      <c r="B424" t="s">
        <v>1366</v>
      </c>
      <c r="C424">
        <v>2</v>
      </c>
      <c r="E424" s="48" t="s">
        <v>1367</v>
      </c>
      <c r="F424" s="48" t="s">
        <v>1128</v>
      </c>
      <c r="G424" s="48" t="s">
        <v>1187</v>
      </c>
      <c r="H424" s="48">
        <v>200</v>
      </c>
    </row>
    <row r="425" spans="1:8" x14ac:dyDescent="0.1">
      <c r="A425" t="s">
        <v>1368</v>
      </c>
      <c r="C425">
        <v>2</v>
      </c>
      <c r="E425" s="48" t="s">
        <v>1369</v>
      </c>
      <c r="F425" s="48" t="s">
        <v>1128</v>
      </c>
      <c r="G425" s="48" t="s">
        <v>1187</v>
      </c>
      <c r="H425" s="48">
        <v>200</v>
      </c>
    </row>
    <row r="426" spans="1:8" x14ac:dyDescent="0.1">
      <c r="A426" t="s">
        <v>1370</v>
      </c>
      <c r="C426">
        <v>2</v>
      </c>
      <c r="E426" s="48" t="s">
        <v>1371</v>
      </c>
      <c r="F426" s="48" t="s">
        <v>1037</v>
      </c>
      <c r="G426" s="48" t="s">
        <v>1372</v>
      </c>
      <c r="H426" s="48">
        <v>200</v>
      </c>
    </row>
    <row r="427" spans="1:8" x14ac:dyDescent="0.1">
      <c r="A427" t="s">
        <v>1373</v>
      </c>
      <c r="C427">
        <v>2</v>
      </c>
      <c r="E427" s="48" t="s">
        <v>1374</v>
      </c>
      <c r="F427" s="48" t="s">
        <v>1037</v>
      </c>
      <c r="G427" s="48" t="s">
        <v>1375</v>
      </c>
      <c r="H427" s="48">
        <v>200</v>
      </c>
    </row>
    <row r="428" spans="1:8" x14ac:dyDescent="0.1">
      <c r="A428" t="s">
        <v>1376</v>
      </c>
      <c r="B428" t="s">
        <v>1377</v>
      </c>
      <c r="C428">
        <v>20</v>
      </c>
      <c r="E428" s="48" t="s">
        <v>1378</v>
      </c>
      <c r="F428" s="48" t="s">
        <v>1037</v>
      </c>
      <c r="G428" s="48" t="s">
        <v>1379</v>
      </c>
      <c r="H428" s="48">
        <v>200</v>
      </c>
    </row>
    <row r="429" spans="1:8" x14ac:dyDescent="0.1">
      <c r="A429" t="s">
        <v>1380</v>
      </c>
      <c r="B429" t="s">
        <v>1381</v>
      </c>
      <c r="C429">
        <v>20</v>
      </c>
      <c r="E429" s="48" t="s">
        <v>1382</v>
      </c>
      <c r="F429" s="48" t="s">
        <v>1037</v>
      </c>
      <c r="G429" s="48" t="s">
        <v>1383</v>
      </c>
      <c r="H429" s="48">
        <v>200</v>
      </c>
    </row>
    <row r="430" spans="1:8" x14ac:dyDescent="0.1">
      <c r="A430" t="s">
        <v>1384</v>
      </c>
      <c r="B430" t="s">
        <v>1385</v>
      </c>
      <c r="C430">
        <v>20</v>
      </c>
      <c r="E430" s="48" t="s">
        <v>1386</v>
      </c>
      <c r="F430" s="48" t="s">
        <v>1128</v>
      </c>
      <c r="G430" s="48" t="s">
        <v>1387</v>
      </c>
      <c r="H430" s="48">
        <v>200</v>
      </c>
    </row>
    <row r="431" spans="1:8" x14ac:dyDescent="0.1">
      <c r="A431" t="s">
        <v>1388</v>
      </c>
      <c r="B431" t="s">
        <v>1389</v>
      </c>
      <c r="C431">
        <v>20</v>
      </c>
      <c r="E431" s="48" t="s">
        <v>1390</v>
      </c>
      <c r="F431" s="48" t="s">
        <v>1037</v>
      </c>
      <c r="G431" s="48" t="s">
        <v>1391</v>
      </c>
      <c r="H431" s="48">
        <v>200</v>
      </c>
    </row>
    <row r="432" spans="1:8" x14ac:dyDescent="0.1">
      <c r="A432" t="s">
        <v>1392</v>
      </c>
      <c r="B432" t="s">
        <v>1393</v>
      </c>
      <c r="C432">
        <v>20</v>
      </c>
      <c r="E432" s="48" t="s">
        <v>1394</v>
      </c>
      <c r="F432" s="48" t="s">
        <v>1037</v>
      </c>
      <c r="G432" s="48" t="s">
        <v>1395</v>
      </c>
      <c r="H432" s="48">
        <v>200</v>
      </c>
    </row>
    <row r="433" spans="1:8" x14ac:dyDescent="0.1">
      <c r="A433" t="s">
        <v>1396</v>
      </c>
      <c r="B433" t="s">
        <v>1397</v>
      </c>
      <c r="C433">
        <v>20</v>
      </c>
      <c r="E433" s="48" t="s">
        <v>1398</v>
      </c>
      <c r="F433" s="48" t="s">
        <v>1037</v>
      </c>
      <c r="G433" s="48" t="s">
        <v>1399</v>
      </c>
      <c r="H433" s="48">
        <v>200</v>
      </c>
    </row>
    <row r="434" spans="1:8" x14ac:dyDescent="0.1">
      <c r="A434" t="s">
        <v>1400</v>
      </c>
      <c r="B434" t="s">
        <v>1401</v>
      </c>
      <c r="C434">
        <v>20</v>
      </c>
      <c r="E434" s="48" t="s">
        <v>1402</v>
      </c>
      <c r="F434" s="48" t="s">
        <v>1037</v>
      </c>
      <c r="G434" s="48" t="s">
        <v>1403</v>
      </c>
      <c r="H434" s="48">
        <v>200</v>
      </c>
    </row>
    <row r="435" spans="1:8" x14ac:dyDescent="0.1">
      <c r="A435" t="s">
        <v>1404</v>
      </c>
      <c r="B435" t="s">
        <v>1405</v>
      </c>
      <c r="C435">
        <v>20</v>
      </c>
      <c r="E435" s="48" t="s">
        <v>1406</v>
      </c>
      <c r="F435" s="48" t="s">
        <v>1037</v>
      </c>
      <c r="G435" s="48" t="s">
        <v>1407</v>
      </c>
      <c r="H435" s="48">
        <v>200</v>
      </c>
    </row>
    <row r="436" spans="1:8" x14ac:dyDescent="0.1">
      <c r="A436" t="s">
        <v>1408</v>
      </c>
      <c r="B436" t="s">
        <v>1409</v>
      </c>
      <c r="C436">
        <v>20</v>
      </c>
      <c r="E436" s="48" t="s">
        <v>1410</v>
      </c>
      <c r="F436" s="48" t="s">
        <v>1037</v>
      </c>
      <c r="G436" s="48" t="s">
        <v>1411</v>
      </c>
      <c r="H436" s="48">
        <v>200</v>
      </c>
    </row>
    <row r="437" spans="1:8" x14ac:dyDescent="0.1">
      <c r="A437" t="s">
        <v>1412</v>
      </c>
      <c r="B437" t="s">
        <v>1413</v>
      </c>
      <c r="C437">
        <v>20</v>
      </c>
      <c r="E437" s="48" t="s">
        <v>1414</v>
      </c>
      <c r="F437" s="48" t="s">
        <v>1037</v>
      </c>
      <c r="G437" s="48" t="s">
        <v>1415</v>
      </c>
      <c r="H437" s="48">
        <v>200</v>
      </c>
    </row>
    <row r="438" spans="1:8" x14ac:dyDescent="0.1">
      <c r="A438" t="s">
        <v>1416</v>
      </c>
      <c r="B438" t="s">
        <v>1417</v>
      </c>
      <c r="C438">
        <v>20</v>
      </c>
      <c r="E438" s="48" t="s">
        <v>1418</v>
      </c>
      <c r="F438" s="48" t="s">
        <v>1037</v>
      </c>
      <c r="G438" s="48" t="s">
        <v>1419</v>
      </c>
      <c r="H438" s="48">
        <v>200</v>
      </c>
    </row>
    <row r="439" spans="1:8" x14ac:dyDescent="0.1">
      <c r="A439" t="s">
        <v>1420</v>
      </c>
      <c r="B439" t="s">
        <v>1421</v>
      </c>
      <c r="C439">
        <v>20</v>
      </c>
      <c r="E439" s="48" t="s">
        <v>1422</v>
      </c>
      <c r="F439" s="48" t="s">
        <v>1037</v>
      </c>
      <c r="G439" s="48" t="s">
        <v>1423</v>
      </c>
      <c r="H439" s="48">
        <v>200</v>
      </c>
    </row>
    <row r="440" spans="1:8" x14ac:dyDescent="0.1">
      <c r="A440" t="s">
        <v>1424</v>
      </c>
      <c r="B440" t="s">
        <v>1425</v>
      </c>
      <c r="C440">
        <v>20</v>
      </c>
      <c r="E440" s="48" t="s">
        <v>1426</v>
      </c>
      <c r="F440" s="48" t="s">
        <v>1037</v>
      </c>
      <c r="G440" s="48" t="s">
        <v>1308</v>
      </c>
      <c r="H440" s="48">
        <v>250</v>
      </c>
    </row>
    <row r="441" spans="1:8" x14ac:dyDescent="0.1">
      <c r="A441" t="s">
        <v>1427</v>
      </c>
      <c r="B441" t="s">
        <v>1428</v>
      </c>
      <c r="C441">
        <v>50</v>
      </c>
      <c r="E441" s="48" t="s">
        <v>1429</v>
      </c>
      <c r="F441" s="48" t="s">
        <v>1037</v>
      </c>
      <c r="G441" s="48" t="s">
        <v>1430</v>
      </c>
      <c r="H441" s="48">
        <v>250</v>
      </c>
    </row>
    <row r="442" spans="1:8" x14ac:dyDescent="0.1">
      <c r="A442" t="s">
        <v>1431</v>
      </c>
      <c r="B442" t="s">
        <v>1432</v>
      </c>
      <c r="C442">
        <v>50</v>
      </c>
      <c r="E442" s="48" t="s">
        <v>1433</v>
      </c>
      <c r="F442" s="48" t="s">
        <v>1037</v>
      </c>
      <c r="G442" s="48" t="s">
        <v>1434</v>
      </c>
      <c r="H442" s="48">
        <v>250</v>
      </c>
    </row>
    <row r="443" spans="1:8" x14ac:dyDescent="0.1">
      <c r="A443" t="s">
        <v>1435</v>
      </c>
      <c r="B443" t="s">
        <v>1436</v>
      </c>
      <c r="C443">
        <v>25</v>
      </c>
      <c r="E443" s="48" t="s">
        <v>1437</v>
      </c>
      <c r="F443" s="48" t="s">
        <v>1037</v>
      </c>
      <c r="G443" s="48" t="s">
        <v>1438</v>
      </c>
      <c r="H443" s="48">
        <v>250</v>
      </c>
    </row>
    <row r="444" spans="1:8" x14ac:dyDescent="0.1">
      <c r="A444" t="s">
        <v>1439</v>
      </c>
      <c r="B444" t="s">
        <v>1440</v>
      </c>
      <c r="C444">
        <v>25</v>
      </c>
      <c r="E444" s="48" t="s">
        <v>1441</v>
      </c>
      <c r="F444" s="48" t="s">
        <v>1037</v>
      </c>
      <c r="G444" s="48" t="s">
        <v>1442</v>
      </c>
      <c r="H444" s="48">
        <v>250</v>
      </c>
    </row>
    <row r="445" spans="1:8" x14ac:dyDescent="0.1">
      <c r="A445" t="s">
        <v>1443</v>
      </c>
      <c r="B445" t="s">
        <v>1444</v>
      </c>
      <c r="C445">
        <v>25</v>
      </c>
      <c r="E445" s="48" t="s">
        <v>1445</v>
      </c>
      <c r="F445" s="48" t="s">
        <v>1128</v>
      </c>
      <c r="G445" s="48" t="s">
        <v>1446</v>
      </c>
      <c r="H445" s="48">
        <v>250</v>
      </c>
    </row>
    <row r="446" spans="1:8" x14ac:dyDescent="0.1">
      <c r="A446" t="s">
        <v>1447</v>
      </c>
      <c r="B446" t="s">
        <v>1448</v>
      </c>
      <c r="C446">
        <v>25</v>
      </c>
      <c r="E446" s="48" t="s">
        <v>1449</v>
      </c>
      <c r="F446" s="48" t="s">
        <v>1037</v>
      </c>
      <c r="G446" s="48" t="s">
        <v>1450</v>
      </c>
      <c r="H446" s="48">
        <v>250</v>
      </c>
    </row>
    <row r="447" spans="1:8" x14ac:dyDescent="0.1">
      <c r="A447" t="s">
        <v>1451</v>
      </c>
      <c r="B447" t="s">
        <v>1452</v>
      </c>
      <c r="C447">
        <v>25</v>
      </c>
      <c r="E447" s="48" t="s">
        <v>1453</v>
      </c>
      <c r="F447" s="48" t="s">
        <v>1037</v>
      </c>
      <c r="G447" s="48" t="s">
        <v>1454</v>
      </c>
      <c r="H447" s="48">
        <v>250</v>
      </c>
    </row>
    <row r="448" spans="1:8" x14ac:dyDescent="0.1">
      <c r="A448" t="s">
        <v>1455</v>
      </c>
      <c r="B448" t="s">
        <v>1456</v>
      </c>
      <c r="C448">
        <v>1</v>
      </c>
      <c r="E448" s="48" t="s">
        <v>1457</v>
      </c>
      <c r="F448" s="48" t="s">
        <v>1037</v>
      </c>
      <c r="G448" s="48" t="s">
        <v>1458</v>
      </c>
      <c r="H448" s="48">
        <v>250</v>
      </c>
    </row>
    <row r="449" spans="1:8" x14ac:dyDescent="0.1">
      <c r="A449" t="s">
        <v>1459</v>
      </c>
      <c r="B449" t="s">
        <v>1460</v>
      </c>
      <c r="C449">
        <v>1</v>
      </c>
      <c r="E449" s="48" t="s">
        <v>1461</v>
      </c>
      <c r="F449" s="48" t="s">
        <v>1037</v>
      </c>
      <c r="G449" s="48" t="s">
        <v>1462</v>
      </c>
      <c r="H449" s="48">
        <v>250</v>
      </c>
    </row>
    <row r="450" spans="1:8" x14ac:dyDescent="0.1">
      <c r="A450" t="s">
        <v>1463</v>
      </c>
      <c r="B450" t="s">
        <v>1464</v>
      </c>
      <c r="C450">
        <v>1</v>
      </c>
      <c r="E450" s="48" t="s">
        <v>1465</v>
      </c>
      <c r="F450" s="48" t="s">
        <v>1037</v>
      </c>
      <c r="G450" s="48" t="s">
        <v>1466</v>
      </c>
      <c r="H450" s="48">
        <v>250</v>
      </c>
    </row>
    <row r="451" spans="1:8" x14ac:dyDescent="0.1">
      <c r="A451" t="s">
        <v>1467</v>
      </c>
      <c r="B451" t="s">
        <v>1468</v>
      </c>
      <c r="C451">
        <v>1</v>
      </c>
      <c r="E451" s="48" t="s">
        <v>1469</v>
      </c>
      <c r="F451" s="48" t="s">
        <v>1128</v>
      </c>
      <c r="G451" s="48" t="s">
        <v>1187</v>
      </c>
      <c r="H451" s="48">
        <v>300</v>
      </c>
    </row>
    <row r="452" spans="1:8" x14ac:dyDescent="0.1">
      <c r="A452" t="s">
        <v>1470</v>
      </c>
      <c r="B452" t="s">
        <v>1471</v>
      </c>
      <c r="C452">
        <v>5</v>
      </c>
      <c r="E452" s="48" t="s">
        <v>1472</v>
      </c>
      <c r="F452" s="48" t="s">
        <v>1128</v>
      </c>
      <c r="G452" s="48" t="s">
        <v>1187</v>
      </c>
      <c r="H452" s="48">
        <v>300</v>
      </c>
    </row>
    <row r="453" spans="1:8" x14ac:dyDescent="0.1">
      <c r="A453" t="s">
        <v>1473</v>
      </c>
      <c r="B453" t="s">
        <v>1474</v>
      </c>
      <c r="C453">
        <v>10</v>
      </c>
      <c r="E453" s="48" t="s">
        <v>1475</v>
      </c>
      <c r="F453" s="48" t="s">
        <v>1128</v>
      </c>
      <c r="G453" s="48" t="s">
        <v>1187</v>
      </c>
      <c r="H453" s="48">
        <v>300</v>
      </c>
    </row>
    <row r="454" spans="1:8" x14ac:dyDescent="0.1">
      <c r="A454" t="s">
        <v>1476</v>
      </c>
      <c r="B454" t="s">
        <v>1477</v>
      </c>
      <c r="C454">
        <v>1</v>
      </c>
      <c r="E454" s="48" t="s">
        <v>1478</v>
      </c>
      <c r="F454" s="48" t="s">
        <v>1128</v>
      </c>
      <c r="G454" s="48" t="s">
        <v>1187</v>
      </c>
      <c r="H454" s="48">
        <v>300</v>
      </c>
    </row>
    <row r="455" spans="1:8" x14ac:dyDescent="0.1">
      <c r="A455" t="s">
        <v>1479</v>
      </c>
      <c r="C455">
        <v>1</v>
      </c>
      <c r="E455" s="48" t="s">
        <v>1480</v>
      </c>
      <c r="F455" s="48" t="s">
        <v>1128</v>
      </c>
      <c r="G455" s="48" t="s">
        <v>1187</v>
      </c>
      <c r="H455" s="48">
        <v>300</v>
      </c>
    </row>
    <row r="456" spans="1:8" x14ac:dyDescent="0.1">
      <c r="A456" t="s">
        <v>1481</v>
      </c>
      <c r="B456" t="s">
        <v>1482</v>
      </c>
      <c r="C456">
        <v>1</v>
      </c>
      <c r="E456" s="48" t="s">
        <v>1483</v>
      </c>
      <c r="F456" s="48" t="s">
        <v>1128</v>
      </c>
      <c r="G456" s="48" t="s">
        <v>1187</v>
      </c>
      <c r="H456" s="48">
        <v>300</v>
      </c>
    </row>
    <row r="457" spans="1:8" x14ac:dyDescent="0.1">
      <c r="A457" t="s">
        <v>1484</v>
      </c>
      <c r="C457">
        <v>1</v>
      </c>
      <c r="E457" s="48" t="s">
        <v>1485</v>
      </c>
      <c r="F457" s="48" t="s">
        <v>1037</v>
      </c>
      <c r="G457" s="48" t="s">
        <v>1059</v>
      </c>
      <c r="H457" s="48">
        <v>300</v>
      </c>
    </row>
    <row r="458" spans="1:8" x14ac:dyDescent="0.1">
      <c r="A458" t="s">
        <v>1486</v>
      </c>
      <c r="B458" t="s">
        <v>1487</v>
      </c>
      <c r="C458">
        <v>1</v>
      </c>
      <c r="E458" s="48" t="s">
        <v>1488</v>
      </c>
      <c r="F458" s="48" t="s">
        <v>1037</v>
      </c>
      <c r="G458" s="48" t="s">
        <v>1489</v>
      </c>
      <c r="H458" s="48">
        <v>300</v>
      </c>
    </row>
    <row r="459" spans="1:8" x14ac:dyDescent="0.1">
      <c r="A459" t="s">
        <v>1490</v>
      </c>
      <c r="B459" t="s">
        <v>1491</v>
      </c>
      <c r="C459">
        <v>1</v>
      </c>
      <c r="E459" s="48" t="s">
        <v>1492</v>
      </c>
      <c r="F459" s="48" t="s">
        <v>1037</v>
      </c>
      <c r="G459" s="48" t="s">
        <v>1493</v>
      </c>
      <c r="H459" s="48">
        <v>300</v>
      </c>
    </row>
    <row r="460" spans="1:8" x14ac:dyDescent="0.1">
      <c r="A460" t="s">
        <v>1494</v>
      </c>
      <c r="B460" t="s">
        <v>1495</v>
      </c>
      <c r="C460">
        <v>25</v>
      </c>
      <c r="E460" s="48" t="s">
        <v>1496</v>
      </c>
      <c r="F460" s="48" t="s">
        <v>1037</v>
      </c>
      <c r="G460" s="48" t="s">
        <v>1497</v>
      </c>
      <c r="H460" s="48">
        <v>300</v>
      </c>
    </row>
    <row r="461" spans="1:8" x14ac:dyDescent="0.1">
      <c r="A461" t="s">
        <v>1498</v>
      </c>
      <c r="B461" t="s">
        <v>1499</v>
      </c>
      <c r="C461">
        <v>25</v>
      </c>
      <c r="E461" s="48" t="s">
        <v>1500</v>
      </c>
      <c r="F461" s="48" t="s">
        <v>1037</v>
      </c>
      <c r="G461" s="48" t="s">
        <v>1048</v>
      </c>
      <c r="H461" s="48">
        <v>300</v>
      </c>
    </row>
    <row r="462" spans="1:8" x14ac:dyDescent="0.1">
      <c r="A462" t="s">
        <v>1501</v>
      </c>
      <c r="B462" t="s">
        <v>1502</v>
      </c>
      <c r="C462">
        <v>25</v>
      </c>
      <c r="E462" s="48" t="s">
        <v>1503</v>
      </c>
      <c r="F462" s="48" t="s">
        <v>1037</v>
      </c>
      <c r="G462" s="48" t="s">
        <v>1504</v>
      </c>
      <c r="H462" s="48">
        <v>300</v>
      </c>
    </row>
    <row r="463" spans="1:8" x14ac:dyDescent="0.1">
      <c r="A463" t="s">
        <v>1505</v>
      </c>
      <c r="B463" t="s">
        <v>1506</v>
      </c>
      <c r="C463">
        <v>25</v>
      </c>
      <c r="E463" s="48" t="s">
        <v>1507</v>
      </c>
      <c r="F463" s="48" t="s">
        <v>1037</v>
      </c>
      <c r="G463" s="48" t="s">
        <v>1508</v>
      </c>
      <c r="H463" s="48">
        <v>300</v>
      </c>
    </row>
    <row r="464" spans="1:8" x14ac:dyDescent="0.1">
      <c r="A464" t="s">
        <v>1509</v>
      </c>
      <c r="B464" t="s">
        <v>1510</v>
      </c>
      <c r="C464">
        <v>5</v>
      </c>
      <c r="E464" s="48" t="s">
        <v>1511</v>
      </c>
      <c r="F464" s="48" t="s">
        <v>1128</v>
      </c>
      <c r="G464" s="48" t="s">
        <v>1512</v>
      </c>
      <c r="H464" s="48">
        <v>300</v>
      </c>
    </row>
    <row r="465" spans="1:8" x14ac:dyDescent="0.1">
      <c r="A465" t="s">
        <v>1513</v>
      </c>
      <c r="B465" t="s">
        <v>1514</v>
      </c>
      <c r="C465">
        <v>5</v>
      </c>
      <c r="E465" s="48" t="s">
        <v>1515</v>
      </c>
      <c r="F465" s="48" t="s">
        <v>1037</v>
      </c>
      <c r="G465" s="48" t="s">
        <v>1516</v>
      </c>
      <c r="H465" s="48">
        <v>300</v>
      </c>
    </row>
    <row r="466" spans="1:8" x14ac:dyDescent="0.1">
      <c r="A466" t="s">
        <v>1517</v>
      </c>
      <c r="B466" t="s">
        <v>1518</v>
      </c>
      <c r="C466">
        <v>5</v>
      </c>
      <c r="E466" s="48" t="s">
        <v>1519</v>
      </c>
      <c r="F466" s="48" t="s">
        <v>1128</v>
      </c>
      <c r="G466" s="48" t="s">
        <v>1520</v>
      </c>
      <c r="H466" s="48">
        <v>300</v>
      </c>
    </row>
    <row r="467" spans="1:8" x14ac:dyDescent="0.1">
      <c r="A467" t="s">
        <v>1521</v>
      </c>
      <c r="B467" t="s">
        <v>1522</v>
      </c>
      <c r="C467">
        <v>5</v>
      </c>
      <c r="E467" s="48" t="s">
        <v>1523</v>
      </c>
      <c r="F467" s="48" t="s">
        <v>1037</v>
      </c>
      <c r="G467" s="48" t="s">
        <v>1524</v>
      </c>
      <c r="H467" s="48">
        <v>300</v>
      </c>
    </row>
    <row r="468" spans="1:8" x14ac:dyDescent="0.1">
      <c r="A468" t="s">
        <v>1525</v>
      </c>
      <c r="B468" t="s">
        <v>1526</v>
      </c>
      <c r="C468">
        <v>5</v>
      </c>
      <c r="E468" s="48" t="s">
        <v>1527</v>
      </c>
      <c r="F468" s="48" t="s">
        <v>1037</v>
      </c>
      <c r="G468" s="48" t="s">
        <v>1528</v>
      </c>
      <c r="H468" s="48">
        <v>300</v>
      </c>
    </row>
    <row r="469" spans="1:8" x14ac:dyDescent="0.1">
      <c r="A469" t="s">
        <v>1529</v>
      </c>
      <c r="B469" t="s">
        <v>1530</v>
      </c>
      <c r="C469">
        <v>20</v>
      </c>
      <c r="E469" s="48" t="s">
        <v>1531</v>
      </c>
      <c r="F469" s="48" t="s">
        <v>1037</v>
      </c>
      <c r="G469" s="48" t="s">
        <v>1532</v>
      </c>
      <c r="H469" s="48">
        <v>300</v>
      </c>
    </row>
    <row r="470" spans="1:8" x14ac:dyDescent="0.1">
      <c r="A470" t="s">
        <v>1533</v>
      </c>
      <c r="B470" t="s">
        <v>1534</v>
      </c>
      <c r="C470">
        <v>40</v>
      </c>
      <c r="E470" s="48" t="s">
        <v>1535</v>
      </c>
      <c r="F470" s="48" t="s">
        <v>1128</v>
      </c>
      <c r="G470" s="48" t="s">
        <v>1536</v>
      </c>
      <c r="H470" s="48">
        <v>300</v>
      </c>
    </row>
    <row r="471" spans="1:8" x14ac:dyDescent="0.1">
      <c r="A471" t="s">
        <v>1537</v>
      </c>
      <c r="B471" t="s">
        <v>1538</v>
      </c>
      <c r="C471">
        <v>10</v>
      </c>
      <c r="E471" s="48" t="s">
        <v>1539</v>
      </c>
      <c r="F471" s="48" t="s">
        <v>1037</v>
      </c>
      <c r="G471" s="48" t="s">
        <v>1540</v>
      </c>
      <c r="H471" s="48">
        <v>300</v>
      </c>
    </row>
    <row r="472" spans="1:8" x14ac:dyDescent="0.1">
      <c r="A472" t="s">
        <v>1541</v>
      </c>
      <c r="B472" t="s">
        <v>1542</v>
      </c>
      <c r="C472">
        <v>40</v>
      </c>
      <c r="E472" s="48" t="s">
        <v>1543</v>
      </c>
      <c r="F472" s="48" t="s">
        <v>1128</v>
      </c>
      <c r="G472" s="48" t="s">
        <v>1544</v>
      </c>
      <c r="H472" s="48">
        <v>300</v>
      </c>
    </row>
    <row r="473" spans="1:8" x14ac:dyDescent="0.1">
      <c r="A473" t="s">
        <v>1545</v>
      </c>
      <c r="B473" t="s">
        <v>1546</v>
      </c>
      <c r="C473">
        <v>10</v>
      </c>
      <c r="E473" s="48" t="s">
        <v>1547</v>
      </c>
      <c r="F473" s="48" t="s">
        <v>1037</v>
      </c>
      <c r="G473" s="48" t="s">
        <v>1548</v>
      </c>
      <c r="H473" s="48">
        <v>300</v>
      </c>
    </row>
    <row r="474" spans="1:8" x14ac:dyDescent="0.1">
      <c r="A474" t="s">
        <v>1549</v>
      </c>
      <c r="B474" t="s">
        <v>1550</v>
      </c>
      <c r="C474">
        <v>20</v>
      </c>
      <c r="E474" s="48" t="s">
        <v>1551</v>
      </c>
      <c r="F474" s="48" t="s">
        <v>1037</v>
      </c>
      <c r="G474" s="48" t="s">
        <v>1552</v>
      </c>
      <c r="H474" s="48">
        <v>300</v>
      </c>
    </row>
    <row r="475" spans="1:8" x14ac:dyDescent="0.1">
      <c r="A475" t="s">
        <v>1553</v>
      </c>
      <c r="B475" t="s">
        <v>1554</v>
      </c>
      <c r="C475">
        <v>40</v>
      </c>
      <c r="E475" s="48" t="s">
        <v>1555</v>
      </c>
      <c r="F475" s="48" t="s">
        <v>1037</v>
      </c>
      <c r="G475" s="48" t="s">
        <v>1556</v>
      </c>
      <c r="H475" s="48">
        <v>300</v>
      </c>
    </row>
    <row r="476" spans="1:8" x14ac:dyDescent="0.1">
      <c r="A476" t="s">
        <v>1557</v>
      </c>
      <c r="B476" t="s">
        <v>1558</v>
      </c>
      <c r="C476">
        <v>200</v>
      </c>
      <c r="E476" s="48" t="s">
        <v>1559</v>
      </c>
      <c r="F476" s="48" t="s">
        <v>1128</v>
      </c>
      <c r="G476" s="48" t="s">
        <v>1187</v>
      </c>
      <c r="H476" s="48">
        <v>350</v>
      </c>
    </row>
    <row r="477" spans="1:8" x14ac:dyDescent="0.1">
      <c r="A477" t="s">
        <v>1560</v>
      </c>
      <c r="B477" t="s">
        <v>1561</v>
      </c>
      <c r="C477">
        <v>400</v>
      </c>
      <c r="E477" s="48" t="s">
        <v>1562</v>
      </c>
      <c r="F477" s="48" t="s">
        <v>1128</v>
      </c>
      <c r="G477" s="48" t="s">
        <v>1187</v>
      </c>
      <c r="H477" s="48">
        <v>350</v>
      </c>
    </row>
    <row r="478" spans="1:8" x14ac:dyDescent="0.1">
      <c r="A478" t="s">
        <v>1563</v>
      </c>
      <c r="B478" t="s">
        <v>1564</v>
      </c>
      <c r="C478">
        <v>150</v>
      </c>
      <c r="E478" s="48" t="s">
        <v>1565</v>
      </c>
      <c r="F478" s="48" t="s">
        <v>1037</v>
      </c>
      <c r="G478" s="48" t="s">
        <v>1566</v>
      </c>
      <c r="H478" s="48">
        <v>350</v>
      </c>
    </row>
    <row r="479" spans="1:8" x14ac:dyDescent="0.1">
      <c r="A479" t="s">
        <v>1567</v>
      </c>
      <c r="B479" t="s">
        <v>1568</v>
      </c>
      <c r="C479">
        <v>10</v>
      </c>
      <c r="E479" s="48" t="s">
        <v>1569</v>
      </c>
      <c r="F479" s="48" t="s">
        <v>1128</v>
      </c>
      <c r="G479" s="48" t="s">
        <v>1570</v>
      </c>
      <c r="H479" s="48">
        <v>350</v>
      </c>
    </row>
    <row r="480" spans="1:8" x14ac:dyDescent="0.1">
      <c r="A480" t="s">
        <v>1571</v>
      </c>
      <c r="B480" t="s">
        <v>1572</v>
      </c>
      <c r="C480">
        <v>50</v>
      </c>
      <c r="E480" s="48" t="s">
        <v>1573</v>
      </c>
      <c r="F480" s="48" t="s">
        <v>1128</v>
      </c>
      <c r="G480" s="48" t="s">
        <v>1574</v>
      </c>
      <c r="H480" s="48">
        <v>350</v>
      </c>
    </row>
    <row r="481" spans="1:8" x14ac:dyDescent="0.1">
      <c r="A481" t="s">
        <v>1575</v>
      </c>
      <c r="B481" t="s">
        <v>1576</v>
      </c>
      <c r="C481">
        <v>150</v>
      </c>
      <c r="E481" s="48" t="s">
        <v>1577</v>
      </c>
      <c r="F481" s="48" t="s">
        <v>1037</v>
      </c>
      <c r="G481" s="48" t="s">
        <v>1578</v>
      </c>
      <c r="H481" s="48">
        <v>350</v>
      </c>
    </row>
    <row r="482" spans="1:8" x14ac:dyDescent="0.1">
      <c r="A482" t="s">
        <v>1579</v>
      </c>
      <c r="B482" t="s">
        <v>1580</v>
      </c>
      <c r="C482">
        <v>300</v>
      </c>
      <c r="E482" s="48" t="s">
        <v>1581</v>
      </c>
      <c r="F482" s="48" t="s">
        <v>1037</v>
      </c>
      <c r="G482" s="48" t="s">
        <v>1582</v>
      </c>
      <c r="H482" s="48">
        <v>350</v>
      </c>
    </row>
    <row r="483" spans="1:8" x14ac:dyDescent="0.1">
      <c r="A483" t="s">
        <v>1583</v>
      </c>
      <c r="B483" t="s">
        <v>1584</v>
      </c>
      <c r="C483">
        <v>50</v>
      </c>
      <c r="E483" s="48" t="s">
        <v>1585</v>
      </c>
      <c r="F483" s="48" t="s">
        <v>1037</v>
      </c>
      <c r="G483" s="48" t="s">
        <v>1586</v>
      </c>
      <c r="H483" s="48">
        <v>350</v>
      </c>
    </row>
    <row r="484" spans="1:8" x14ac:dyDescent="0.1">
      <c r="A484" t="s">
        <v>1587</v>
      </c>
      <c r="B484" t="s">
        <v>1588</v>
      </c>
      <c r="C484">
        <v>250</v>
      </c>
      <c r="E484" s="48" t="s">
        <v>1589</v>
      </c>
      <c r="F484" s="48" t="s">
        <v>1128</v>
      </c>
      <c r="G484" s="48" t="s">
        <v>1590</v>
      </c>
      <c r="H484" s="48">
        <v>350</v>
      </c>
    </row>
    <row r="485" spans="1:8" x14ac:dyDescent="0.1">
      <c r="A485" t="s">
        <v>1591</v>
      </c>
      <c r="B485" t="s">
        <v>1592</v>
      </c>
      <c r="C485">
        <v>200</v>
      </c>
      <c r="E485" s="48" t="s">
        <v>1593</v>
      </c>
      <c r="F485" s="48" t="s">
        <v>1037</v>
      </c>
      <c r="G485" s="48" t="s">
        <v>1594</v>
      </c>
      <c r="H485" s="48">
        <v>350</v>
      </c>
    </row>
    <row r="486" spans="1:8" x14ac:dyDescent="0.1">
      <c r="A486" t="s">
        <v>1595</v>
      </c>
      <c r="B486" t="s">
        <v>1596</v>
      </c>
      <c r="C486">
        <v>50</v>
      </c>
      <c r="E486" s="48" t="s">
        <v>1597</v>
      </c>
      <c r="F486" s="48" t="s">
        <v>1128</v>
      </c>
      <c r="G486" s="48" t="s">
        <v>1187</v>
      </c>
      <c r="H486" s="48">
        <v>400</v>
      </c>
    </row>
    <row r="487" spans="1:8" x14ac:dyDescent="0.1">
      <c r="A487" t="s">
        <v>1598</v>
      </c>
      <c r="B487" t="s">
        <v>1599</v>
      </c>
      <c r="C487">
        <v>400</v>
      </c>
      <c r="E487" s="48" t="s">
        <v>1600</v>
      </c>
      <c r="F487" s="48" t="s">
        <v>1037</v>
      </c>
      <c r="G487" s="48" t="s">
        <v>1601</v>
      </c>
      <c r="H487" s="48">
        <v>400</v>
      </c>
    </row>
    <row r="488" spans="1:8" x14ac:dyDescent="0.1">
      <c r="A488" t="s">
        <v>1602</v>
      </c>
      <c r="B488" t="s">
        <v>1603</v>
      </c>
      <c r="C488">
        <v>200</v>
      </c>
      <c r="E488" s="48" t="s">
        <v>1604</v>
      </c>
      <c r="F488" s="48" t="s">
        <v>1128</v>
      </c>
      <c r="G488" s="48" t="s">
        <v>1605</v>
      </c>
      <c r="H488" s="48">
        <v>400</v>
      </c>
    </row>
    <row r="489" spans="1:8" x14ac:dyDescent="0.1">
      <c r="A489" t="s">
        <v>1606</v>
      </c>
      <c r="B489" t="s">
        <v>1607</v>
      </c>
      <c r="C489">
        <v>500</v>
      </c>
      <c r="E489" s="48" t="s">
        <v>1608</v>
      </c>
      <c r="F489" s="48" t="s">
        <v>1037</v>
      </c>
      <c r="G489" s="48" t="s">
        <v>1609</v>
      </c>
      <c r="H489" s="48">
        <v>400</v>
      </c>
    </row>
    <row r="490" spans="1:8" x14ac:dyDescent="0.1">
      <c r="A490" t="s">
        <v>1610</v>
      </c>
      <c r="B490" t="s">
        <v>1611</v>
      </c>
      <c r="C490">
        <v>700</v>
      </c>
      <c r="E490" s="48" t="s">
        <v>1612</v>
      </c>
      <c r="F490" s="48" t="s">
        <v>1037</v>
      </c>
      <c r="G490" s="48" t="s">
        <v>1613</v>
      </c>
      <c r="H490" s="48">
        <v>400</v>
      </c>
    </row>
    <row r="491" spans="1:8" x14ac:dyDescent="0.1">
      <c r="A491" t="s">
        <v>1614</v>
      </c>
      <c r="B491" t="s">
        <v>1615</v>
      </c>
      <c r="C491">
        <v>1500</v>
      </c>
      <c r="E491" s="48" t="s">
        <v>1616</v>
      </c>
      <c r="F491" s="48" t="s">
        <v>1037</v>
      </c>
      <c r="G491" s="48" t="s">
        <v>1617</v>
      </c>
      <c r="H491" s="48">
        <v>400</v>
      </c>
    </row>
    <row r="492" spans="1:8" x14ac:dyDescent="0.1">
      <c r="A492" t="s">
        <v>1618</v>
      </c>
      <c r="B492" t="s">
        <v>1615</v>
      </c>
      <c r="C492">
        <v>4000</v>
      </c>
      <c r="E492" s="48" t="s">
        <v>1619</v>
      </c>
      <c r="F492" s="48" t="s">
        <v>1037</v>
      </c>
      <c r="G492" s="48" t="s">
        <v>1620</v>
      </c>
      <c r="H492" s="48">
        <v>400</v>
      </c>
    </row>
    <row r="493" spans="1:8" x14ac:dyDescent="0.1">
      <c r="A493" t="s">
        <v>1621</v>
      </c>
      <c r="B493" t="s">
        <v>1615</v>
      </c>
      <c r="C493">
        <v>5000</v>
      </c>
      <c r="E493" s="48" t="s">
        <v>1622</v>
      </c>
      <c r="F493" s="48" t="s">
        <v>1037</v>
      </c>
      <c r="G493" s="48" t="s">
        <v>1623</v>
      </c>
      <c r="H493" s="48">
        <v>400</v>
      </c>
    </row>
    <row r="494" spans="1:8" x14ac:dyDescent="0.1">
      <c r="A494" t="s">
        <v>1624</v>
      </c>
      <c r="B494" t="s">
        <v>1625</v>
      </c>
      <c r="C494">
        <v>200</v>
      </c>
      <c r="E494" s="48" t="s">
        <v>1626</v>
      </c>
      <c r="F494" s="48" t="s">
        <v>1037</v>
      </c>
      <c r="G494" s="48" t="s">
        <v>1627</v>
      </c>
      <c r="H494" s="48">
        <v>400</v>
      </c>
    </row>
    <row r="495" spans="1:8" x14ac:dyDescent="0.1">
      <c r="A495" t="s">
        <v>1628</v>
      </c>
      <c r="B495" t="s">
        <v>1615</v>
      </c>
      <c r="C495">
        <v>1200</v>
      </c>
      <c r="E495" s="48" t="s">
        <v>1629</v>
      </c>
      <c r="F495" s="48" t="s">
        <v>1128</v>
      </c>
      <c r="G495" s="48" t="s">
        <v>1630</v>
      </c>
      <c r="H495" s="48">
        <v>400</v>
      </c>
    </row>
    <row r="496" spans="1:8" x14ac:dyDescent="0.1">
      <c r="A496" t="s">
        <v>1631</v>
      </c>
      <c r="B496" t="s">
        <v>1632</v>
      </c>
      <c r="C496">
        <v>3000</v>
      </c>
      <c r="E496" s="48" t="s">
        <v>1633</v>
      </c>
      <c r="F496" s="48" t="s">
        <v>1128</v>
      </c>
      <c r="G496" s="48" t="s">
        <v>1634</v>
      </c>
      <c r="H496" s="48">
        <v>400</v>
      </c>
    </row>
    <row r="497" spans="1:8" x14ac:dyDescent="0.1">
      <c r="A497" t="s">
        <v>1635</v>
      </c>
      <c r="B497" t="s">
        <v>1615</v>
      </c>
      <c r="C497">
        <v>2400</v>
      </c>
      <c r="E497" s="48" t="s">
        <v>1636</v>
      </c>
      <c r="F497" s="48" t="s">
        <v>1128</v>
      </c>
      <c r="G497" s="48" t="s">
        <v>1637</v>
      </c>
      <c r="H497" s="48">
        <v>400</v>
      </c>
    </row>
    <row r="498" spans="1:8" x14ac:dyDescent="0.1">
      <c r="A498" t="s">
        <v>1638</v>
      </c>
      <c r="B498" t="s">
        <v>1615</v>
      </c>
      <c r="C498">
        <v>7000</v>
      </c>
      <c r="E498" s="48" t="s">
        <v>1639</v>
      </c>
      <c r="F498" s="48" t="s">
        <v>1128</v>
      </c>
      <c r="G498" s="48" t="s">
        <v>1640</v>
      </c>
      <c r="H498" s="48">
        <v>400</v>
      </c>
    </row>
    <row r="499" spans="1:8" x14ac:dyDescent="0.1">
      <c r="A499" t="s">
        <v>1641</v>
      </c>
      <c r="B499" t="s">
        <v>1632</v>
      </c>
      <c r="C499">
        <v>2500</v>
      </c>
      <c r="E499" s="48" t="s">
        <v>1642</v>
      </c>
      <c r="F499" s="48" t="s">
        <v>1037</v>
      </c>
      <c r="G499" s="48" t="s">
        <v>1643</v>
      </c>
      <c r="H499" s="48">
        <v>400</v>
      </c>
    </row>
    <row r="500" spans="1:8" x14ac:dyDescent="0.1">
      <c r="A500" t="s">
        <v>1644</v>
      </c>
      <c r="B500" t="s">
        <v>1645</v>
      </c>
      <c r="C500">
        <v>30</v>
      </c>
      <c r="E500" s="48" t="s">
        <v>1646</v>
      </c>
      <c r="F500" s="48" t="s">
        <v>1037</v>
      </c>
      <c r="G500" s="48" t="s">
        <v>1647</v>
      </c>
      <c r="H500" s="48">
        <v>400</v>
      </c>
    </row>
    <row r="501" spans="1:8" x14ac:dyDescent="0.1">
      <c r="A501" t="s">
        <v>1648</v>
      </c>
      <c r="B501" t="s">
        <v>1649</v>
      </c>
      <c r="C501">
        <v>150</v>
      </c>
      <c r="E501" s="48" t="s">
        <v>1650</v>
      </c>
      <c r="F501" s="48" t="s">
        <v>1037</v>
      </c>
      <c r="G501" s="48" t="s">
        <v>1651</v>
      </c>
      <c r="H501" s="48">
        <v>400</v>
      </c>
    </row>
    <row r="502" spans="1:8" x14ac:dyDescent="0.1">
      <c r="A502" t="s">
        <v>1652</v>
      </c>
      <c r="B502" t="s">
        <v>1653</v>
      </c>
      <c r="C502">
        <v>800</v>
      </c>
      <c r="E502" s="48" t="s">
        <v>1654</v>
      </c>
      <c r="F502" s="48" t="s">
        <v>1037</v>
      </c>
      <c r="G502" s="48" t="s">
        <v>1655</v>
      </c>
      <c r="H502" s="48">
        <v>400</v>
      </c>
    </row>
    <row r="503" spans="1:8" x14ac:dyDescent="0.1">
      <c r="A503" t="s">
        <v>1656</v>
      </c>
      <c r="B503" t="s">
        <v>1645</v>
      </c>
      <c r="C503">
        <v>50</v>
      </c>
      <c r="E503" s="48" t="s">
        <v>1657</v>
      </c>
      <c r="F503" s="48" t="s">
        <v>1037</v>
      </c>
      <c r="G503" s="48" t="s">
        <v>1658</v>
      </c>
      <c r="H503" s="48">
        <v>400</v>
      </c>
    </row>
    <row r="504" spans="1:8" x14ac:dyDescent="0.1">
      <c r="A504" t="s">
        <v>1659</v>
      </c>
      <c r="B504" t="s">
        <v>1660</v>
      </c>
      <c r="C504">
        <v>500</v>
      </c>
      <c r="E504" s="48" t="s">
        <v>1661</v>
      </c>
      <c r="F504" s="48" t="s">
        <v>1037</v>
      </c>
      <c r="G504" s="48" t="s">
        <v>1662</v>
      </c>
      <c r="H504" s="48">
        <v>450</v>
      </c>
    </row>
    <row r="505" spans="1:8" x14ac:dyDescent="0.1">
      <c r="A505" t="s">
        <v>1663</v>
      </c>
      <c r="B505" t="s">
        <v>1664</v>
      </c>
      <c r="C505">
        <v>6000</v>
      </c>
      <c r="E505" s="48" t="s">
        <v>1665</v>
      </c>
      <c r="F505" s="48" t="s">
        <v>1128</v>
      </c>
      <c r="G505" s="48" t="s">
        <v>1666</v>
      </c>
      <c r="H505" s="48">
        <v>450</v>
      </c>
    </row>
    <row r="506" spans="1:8" x14ac:dyDescent="0.1">
      <c r="A506" t="s">
        <v>1667</v>
      </c>
      <c r="B506" t="s">
        <v>1668</v>
      </c>
      <c r="C506">
        <v>4000</v>
      </c>
      <c r="E506" s="48" t="s">
        <v>1669</v>
      </c>
      <c r="F506" s="48" t="s">
        <v>1037</v>
      </c>
      <c r="G506" s="48" t="s">
        <v>1670</v>
      </c>
      <c r="H506" s="48">
        <v>450</v>
      </c>
    </row>
    <row r="507" spans="1:8" x14ac:dyDescent="0.1">
      <c r="A507" t="s">
        <v>1671</v>
      </c>
      <c r="B507" t="s">
        <v>1668</v>
      </c>
      <c r="C507">
        <v>8000</v>
      </c>
      <c r="E507" s="48" t="s">
        <v>1672</v>
      </c>
      <c r="F507" s="48" t="s">
        <v>1128</v>
      </c>
      <c r="G507" s="48" t="s">
        <v>1673</v>
      </c>
      <c r="H507" s="48">
        <v>500</v>
      </c>
    </row>
    <row r="508" spans="1:8" x14ac:dyDescent="0.1">
      <c r="A508" t="s">
        <v>1674</v>
      </c>
      <c r="B508" t="s">
        <v>1675</v>
      </c>
      <c r="C508">
        <v>24500</v>
      </c>
      <c r="E508" s="48" t="s">
        <v>1676</v>
      </c>
      <c r="F508" s="48" t="s">
        <v>1037</v>
      </c>
      <c r="G508" s="48" t="s">
        <v>1677</v>
      </c>
      <c r="H508" s="48">
        <v>500</v>
      </c>
    </row>
    <row r="509" spans="1:8" x14ac:dyDescent="0.1">
      <c r="A509" t="s">
        <v>1678</v>
      </c>
      <c r="B509" t="s">
        <v>1679</v>
      </c>
      <c r="C509">
        <v>16000</v>
      </c>
      <c r="E509" s="48" t="s">
        <v>1680</v>
      </c>
      <c r="F509" s="48" t="s">
        <v>1037</v>
      </c>
      <c r="G509" s="48" t="s">
        <v>1681</v>
      </c>
      <c r="H509" s="48">
        <v>500</v>
      </c>
    </row>
    <row r="510" spans="1:8" x14ac:dyDescent="0.1">
      <c r="A510" t="s">
        <v>1682</v>
      </c>
      <c r="B510" t="s">
        <v>1683</v>
      </c>
      <c r="C510">
        <v>200</v>
      </c>
      <c r="E510" s="48" t="s">
        <v>1684</v>
      </c>
      <c r="F510" s="48" t="s">
        <v>1037</v>
      </c>
      <c r="G510" s="48" t="s">
        <v>1685</v>
      </c>
      <c r="H510" s="48">
        <v>500</v>
      </c>
    </row>
    <row r="511" spans="1:8" x14ac:dyDescent="0.1">
      <c r="A511" t="s">
        <v>1686</v>
      </c>
      <c r="B511" t="s">
        <v>1687</v>
      </c>
      <c r="C511">
        <v>1100</v>
      </c>
      <c r="E511" s="48" t="s">
        <v>1688</v>
      </c>
      <c r="F511" s="48" t="s">
        <v>1037</v>
      </c>
      <c r="G511" s="48" t="s">
        <v>1689</v>
      </c>
      <c r="H511" s="48">
        <v>500</v>
      </c>
    </row>
    <row r="512" spans="1:8" x14ac:dyDescent="0.1">
      <c r="A512" t="s">
        <v>1690</v>
      </c>
      <c r="B512" t="s">
        <v>1691</v>
      </c>
      <c r="C512">
        <v>75000</v>
      </c>
      <c r="E512" s="48" t="s">
        <v>1692</v>
      </c>
      <c r="F512" s="48" t="s">
        <v>1128</v>
      </c>
      <c r="G512" s="48" t="s">
        <v>1693</v>
      </c>
      <c r="H512" s="48">
        <v>500</v>
      </c>
    </row>
    <row r="513" spans="1:8" x14ac:dyDescent="0.1">
      <c r="A513" t="s">
        <v>1694</v>
      </c>
      <c r="B513" t="s">
        <v>1687</v>
      </c>
      <c r="C513">
        <v>8000</v>
      </c>
      <c r="E513" s="48" t="s">
        <v>1695</v>
      </c>
      <c r="F513" s="48" t="s">
        <v>1037</v>
      </c>
      <c r="G513" s="48" t="s">
        <v>1696</v>
      </c>
      <c r="H513" s="48">
        <v>500</v>
      </c>
    </row>
    <row r="514" spans="1:8" x14ac:dyDescent="0.1">
      <c r="A514" t="s">
        <v>1697</v>
      </c>
      <c r="B514" t="s">
        <v>1698</v>
      </c>
      <c r="C514">
        <v>60000</v>
      </c>
      <c r="E514" s="48" t="s">
        <v>1699</v>
      </c>
      <c r="F514" s="48" t="s">
        <v>1037</v>
      </c>
      <c r="G514" s="48" t="s">
        <v>1700</v>
      </c>
      <c r="H514" s="48">
        <v>500</v>
      </c>
    </row>
    <row r="515" spans="1:8" x14ac:dyDescent="0.1">
      <c r="E515" s="48" t="s">
        <v>1701</v>
      </c>
      <c r="F515" s="48" t="s">
        <v>1128</v>
      </c>
      <c r="G515" s="48" t="s">
        <v>1702</v>
      </c>
      <c r="H515" s="48">
        <v>500</v>
      </c>
    </row>
    <row r="516" spans="1:8" x14ac:dyDescent="0.1">
      <c r="E516" s="48" t="s">
        <v>1703</v>
      </c>
      <c r="F516" s="48" t="s">
        <v>1128</v>
      </c>
      <c r="G516" s="48" t="s">
        <v>1704</v>
      </c>
      <c r="H516" s="48">
        <v>500</v>
      </c>
    </row>
    <row r="517" spans="1:8" x14ac:dyDescent="0.1">
      <c r="E517" s="48" t="s">
        <v>1705</v>
      </c>
      <c r="F517" s="48" t="s">
        <v>1037</v>
      </c>
      <c r="G517" s="48" t="s">
        <v>1706</v>
      </c>
      <c r="H517" s="48">
        <v>500</v>
      </c>
    </row>
    <row r="518" spans="1:8" x14ac:dyDescent="0.1">
      <c r="E518" s="48" t="s">
        <v>1707</v>
      </c>
      <c r="F518" s="48" t="s">
        <v>1037</v>
      </c>
      <c r="G518" s="48" t="s">
        <v>1708</v>
      </c>
      <c r="H518" s="48">
        <v>500</v>
      </c>
    </row>
    <row r="519" spans="1:8" x14ac:dyDescent="0.1">
      <c r="E519" s="48" t="s">
        <v>1709</v>
      </c>
      <c r="F519" s="48" t="s">
        <v>1128</v>
      </c>
      <c r="G519" s="48" t="s">
        <v>1187</v>
      </c>
      <c r="H519" s="48">
        <v>550</v>
      </c>
    </row>
    <row r="520" spans="1:8" x14ac:dyDescent="0.1">
      <c r="E520" s="48" t="s">
        <v>1710</v>
      </c>
      <c r="F520" s="48" t="s">
        <v>1128</v>
      </c>
      <c r="G520" s="48" t="s">
        <v>1711</v>
      </c>
      <c r="H520" s="48">
        <v>550</v>
      </c>
    </row>
    <row r="521" spans="1:8" x14ac:dyDescent="0.1">
      <c r="E521" s="48" t="s">
        <v>1712</v>
      </c>
      <c r="F521" s="48" t="s">
        <v>1128</v>
      </c>
      <c r="G521" s="48" t="s">
        <v>1713</v>
      </c>
      <c r="H521" s="48">
        <v>550</v>
      </c>
    </row>
    <row r="522" spans="1:8" x14ac:dyDescent="0.1">
      <c r="E522" s="48" t="s">
        <v>1714</v>
      </c>
      <c r="F522" s="48" t="s">
        <v>1037</v>
      </c>
      <c r="G522" s="48" t="s">
        <v>1715</v>
      </c>
      <c r="H522" s="48">
        <v>550</v>
      </c>
    </row>
    <row r="523" spans="1:8" x14ac:dyDescent="0.1">
      <c r="E523" s="48" t="s">
        <v>1716</v>
      </c>
      <c r="F523" s="48" t="s">
        <v>1037</v>
      </c>
      <c r="G523" s="48" t="s">
        <v>1717</v>
      </c>
      <c r="H523" s="48">
        <v>600</v>
      </c>
    </row>
    <row r="524" spans="1:8" x14ac:dyDescent="0.1">
      <c r="E524" s="48" t="s">
        <v>1718</v>
      </c>
      <c r="F524" s="48" t="s">
        <v>1037</v>
      </c>
      <c r="G524" s="48" t="s">
        <v>1048</v>
      </c>
      <c r="H524" s="48">
        <v>600</v>
      </c>
    </row>
    <row r="525" spans="1:8" x14ac:dyDescent="0.1">
      <c r="E525" s="48" t="s">
        <v>1719</v>
      </c>
      <c r="F525" s="48" t="s">
        <v>1037</v>
      </c>
      <c r="G525" s="48" t="s">
        <v>1720</v>
      </c>
      <c r="H525" s="48">
        <v>600</v>
      </c>
    </row>
    <row r="526" spans="1:8" x14ac:dyDescent="0.1">
      <c r="E526" s="48" t="s">
        <v>1721</v>
      </c>
      <c r="F526" s="48" t="s">
        <v>1037</v>
      </c>
      <c r="G526" s="48" t="s">
        <v>1722</v>
      </c>
      <c r="H526" s="48">
        <v>600</v>
      </c>
    </row>
    <row r="527" spans="1:8" x14ac:dyDescent="0.1">
      <c r="E527" s="48" t="s">
        <v>1723</v>
      </c>
      <c r="F527" s="48" t="s">
        <v>1037</v>
      </c>
      <c r="G527" s="48" t="s">
        <v>1724</v>
      </c>
      <c r="H527" s="48">
        <v>600</v>
      </c>
    </row>
    <row r="528" spans="1:8" x14ac:dyDescent="0.1">
      <c r="E528" s="48" t="s">
        <v>1725</v>
      </c>
      <c r="F528" s="48" t="s">
        <v>1037</v>
      </c>
      <c r="G528" s="48" t="s">
        <v>1726</v>
      </c>
      <c r="H528" s="48">
        <v>600</v>
      </c>
    </row>
    <row r="529" spans="5:8" x14ac:dyDescent="0.1">
      <c r="E529" s="48" t="s">
        <v>1727</v>
      </c>
      <c r="F529" s="48" t="s">
        <v>1037</v>
      </c>
      <c r="G529" s="48" t="s">
        <v>1728</v>
      </c>
      <c r="H529" s="48">
        <v>600</v>
      </c>
    </row>
    <row r="530" spans="5:8" x14ac:dyDescent="0.1">
      <c r="E530" s="48" t="s">
        <v>1729</v>
      </c>
      <c r="F530" s="48" t="s">
        <v>1037</v>
      </c>
      <c r="G530" s="48" t="s">
        <v>1730</v>
      </c>
      <c r="H530" s="48">
        <v>600</v>
      </c>
    </row>
    <row r="531" spans="5:8" x14ac:dyDescent="0.1">
      <c r="E531" s="48" t="s">
        <v>1731</v>
      </c>
      <c r="F531" s="48" t="s">
        <v>1128</v>
      </c>
      <c r="G531" s="48" t="s">
        <v>1732</v>
      </c>
      <c r="H531" s="48">
        <v>600</v>
      </c>
    </row>
    <row r="532" spans="5:8" x14ac:dyDescent="0.1">
      <c r="E532" s="48" t="s">
        <v>1733</v>
      </c>
      <c r="F532" s="48" t="s">
        <v>1037</v>
      </c>
      <c r="G532" s="48" t="s">
        <v>1734</v>
      </c>
      <c r="H532" s="48">
        <v>600</v>
      </c>
    </row>
    <row r="533" spans="5:8" x14ac:dyDescent="0.1">
      <c r="E533" s="48" t="s">
        <v>1735</v>
      </c>
      <c r="F533" s="48" t="s">
        <v>1037</v>
      </c>
      <c r="G533" s="48" t="s">
        <v>1736</v>
      </c>
      <c r="H533" s="48">
        <v>600</v>
      </c>
    </row>
    <row r="534" spans="5:8" x14ac:dyDescent="0.1">
      <c r="E534" s="48" t="s">
        <v>1737</v>
      </c>
      <c r="F534" s="48" t="s">
        <v>1128</v>
      </c>
      <c r="G534" s="48" t="s">
        <v>1738</v>
      </c>
      <c r="H534" s="48">
        <v>650</v>
      </c>
    </row>
    <row r="535" spans="5:8" x14ac:dyDescent="0.1">
      <c r="E535" s="48" t="s">
        <v>1739</v>
      </c>
      <c r="F535" s="48" t="s">
        <v>1037</v>
      </c>
      <c r="G535" s="48" t="s">
        <v>1740</v>
      </c>
      <c r="H535" s="48">
        <v>700</v>
      </c>
    </row>
    <row r="536" spans="5:8" x14ac:dyDescent="0.1">
      <c r="E536" s="48" t="s">
        <v>1741</v>
      </c>
      <c r="F536" s="48" t="s">
        <v>1128</v>
      </c>
      <c r="G536" s="48" t="s">
        <v>1742</v>
      </c>
      <c r="H536" s="48">
        <v>700</v>
      </c>
    </row>
    <row r="537" spans="5:8" x14ac:dyDescent="0.1">
      <c r="E537" s="48" t="s">
        <v>1743</v>
      </c>
      <c r="F537" s="48" t="s">
        <v>1037</v>
      </c>
      <c r="G537" s="48" t="s">
        <v>1744</v>
      </c>
      <c r="H537" s="48">
        <v>700</v>
      </c>
    </row>
    <row r="538" spans="5:8" x14ac:dyDescent="0.1">
      <c r="E538" s="48" t="s">
        <v>1745</v>
      </c>
      <c r="F538" s="48" t="s">
        <v>1037</v>
      </c>
      <c r="G538" s="48" t="s">
        <v>1746</v>
      </c>
      <c r="H538" s="48">
        <v>700</v>
      </c>
    </row>
    <row r="539" spans="5:8" x14ac:dyDescent="0.1">
      <c r="E539" s="48" t="s">
        <v>1747</v>
      </c>
      <c r="F539" s="48" t="s">
        <v>1037</v>
      </c>
      <c r="G539" s="48" t="s">
        <v>1748</v>
      </c>
      <c r="H539" s="48">
        <v>700</v>
      </c>
    </row>
    <row r="540" spans="5:8" x14ac:dyDescent="0.1">
      <c r="E540" s="48" t="s">
        <v>1749</v>
      </c>
      <c r="F540" s="48" t="s">
        <v>1128</v>
      </c>
      <c r="G540" s="48" t="s">
        <v>1750</v>
      </c>
      <c r="H540" s="48">
        <v>700</v>
      </c>
    </row>
    <row r="541" spans="5:8" x14ac:dyDescent="0.1">
      <c r="E541" s="48" t="s">
        <v>1751</v>
      </c>
      <c r="F541" s="48" t="s">
        <v>1037</v>
      </c>
      <c r="G541" s="48" t="s">
        <v>1752</v>
      </c>
      <c r="H541" s="48">
        <v>700</v>
      </c>
    </row>
    <row r="542" spans="5:8" x14ac:dyDescent="0.1">
      <c r="E542" s="48" t="s">
        <v>1753</v>
      </c>
      <c r="F542" s="48" t="s">
        <v>1037</v>
      </c>
      <c r="G542" s="48" t="s">
        <v>1754</v>
      </c>
      <c r="H542" s="48">
        <v>700</v>
      </c>
    </row>
    <row r="543" spans="5:8" x14ac:dyDescent="0.1">
      <c r="E543" s="48" t="s">
        <v>1755</v>
      </c>
      <c r="F543" s="48" t="s">
        <v>1037</v>
      </c>
      <c r="G543" s="48" t="s">
        <v>1756</v>
      </c>
      <c r="H543" s="48">
        <v>700</v>
      </c>
    </row>
    <row r="544" spans="5:8" x14ac:dyDescent="0.1">
      <c r="E544" s="48" t="s">
        <v>1757</v>
      </c>
      <c r="F544" s="48" t="s">
        <v>1128</v>
      </c>
      <c r="G544" s="48" t="s">
        <v>1758</v>
      </c>
      <c r="H544" s="48">
        <v>700</v>
      </c>
    </row>
    <row r="545" spans="5:8" x14ac:dyDescent="0.1">
      <c r="E545" s="48" t="s">
        <v>1759</v>
      </c>
      <c r="F545" s="48" t="s">
        <v>1128</v>
      </c>
      <c r="G545" s="48" t="s">
        <v>1760</v>
      </c>
      <c r="H545" s="48">
        <v>700</v>
      </c>
    </row>
    <row r="546" spans="5:8" x14ac:dyDescent="0.1">
      <c r="E546" s="48" t="s">
        <v>1761</v>
      </c>
      <c r="F546" s="48" t="s">
        <v>1037</v>
      </c>
      <c r="G546" s="48" t="s">
        <v>1308</v>
      </c>
      <c r="H546" s="48">
        <v>750</v>
      </c>
    </row>
    <row r="547" spans="5:8" x14ac:dyDescent="0.1">
      <c r="E547" s="48" t="s">
        <v>1762</v>
      </c>
      <c r="F547" s="48" t="s">
        <v>1128</v>
      </c>
      <c r="G547" s="48" t="s">
        <v>1763</v>
      </c>
      <c r="H547" s="48">
        <v>750</v>
      </c>
    </row>
    <row r="548" spans="5:8" x14ac:dyDescent="0.1">
      <c r="E548" s="48" t="s">
        <v>1764</v>
      </c>
      <c r="F548" s="48" t="s">
        <v>1037</v>
      </c>
      <c r="G548" s="48" t="s">
        <v>1765</v>
      </c>
      <c r="H548" s="48">
        <v>750</v>
      </c>
    </row>
    <row r="549" spans="5:8" x14ac:dyDescent="0.1">
      <c r="E549" s="48" t="s">
        <v>1766</v>
      </c>
      <c r="F549" s="48" t="s">
        <v>1037</v>
      </c>
      <c r="G549" s="48" t="s">
        <v>1767</v>
      </c>
      <c r="H549" s="48">
        <v>750</v>
      </c>
    </row>
    <row r="550" spans="5:8" x14ac:dyDescent="0.1">
      <c r="E550" s="48" t="s">
        <v>1768</v>
      </c>
      <c r="F550" s="48" t="s">
        <v>1037</v>
      </c>
      <c r="G550" s="48" t="s">
        <v>1769</v>
      </c>
      <c r="H550" s="48">
        <v>750</v>
      </c>
    </row>
    <row r="551" spans="5:8" x14ac:dyDescent="0.1">
      <c r="E551" s="48" t="s">
        <v>1770</v>
      </c>
      <c r="F551" s="48" t="s">
        <v>1128</v>
      </c>
      <c r="G551" s="48" t="s">
        <v>1771</v>
      </c>
      <c r="H551" s="48">
        <v>750</v>
      </c>
    </row>
    <row r="552" spans="5:8" x14ac:dyDescent="0.1">
      <c r="E552" s="48" t="s">
        <v>1772</v>
      </c>
      <c r="F552" s="48" t="s">
        <v>1128</v>
      </c>
      <c r="G552" s="48" t="s">
        <v>1773</v>
      </c>
      <c r="H552" s="48">
        <v>750</v>
      </c>
    </row>
    <row r="553" spans="5:8" x14ac:dyDescent="0.1">
      <c r="E553" s="48" t="s">
        <v>1774</v>
      </c>
      <c r="F553" s="48" t="s">
        <v>1037</v>
      </c>
      <c r="G553" s="48" t="s">
        <v>1775</v>
      </c>
      <c r="H553" s="48">
        <v>750</v>
      </c>
    </row>
    <row r="554" spans="5:8" x14ac:dyDescent="0.1">
      <c r="E554" s="48" t="s">
        <v>1776</v>
      </c>
      <c r="F554" s="48" t="s">
        <v>1037</v>
      </c>
      <c r="G554" s="48" t="s">
        <v>1777</v>
      </c>
      <c r="H554" s="48">
        <v>750</v>
      </c>
    </row>
    <row r="555" spans="5:8" x14ac:dyDescent="0.1">
      <c r="E555" s="48" t="s">
        <v>1778</v>
      </c>
      <c r="F555" s="48" t="s">
        <v>1037</v>
      </c>
      <c r="G555" s="48" t="s">
        <v>1779</v>
      </c>
      <c r="H555" s="48">
        <v>750</v>
      </c>
    </row>
    <row r="556" spans="5:8" x14ac:dyDescent="0.1">
      <c r="E556" s="48" t="s">
        <v>1780</v>
      </c>
      <c r="F556" s="48" t="s">
        <v>1037</v>
      </c>
      <c r="G556" s="48" t="s">
        <v>1781</v>
      </c>
      <c r="H556" s="48">
        <v>750</v>
      </c>
    </row>
    <row r="557" spans="5:8" x14ac:dyDescent="0.1">
      <c r="E557" s="48" t="s">
        <v>1782</v>
      </c>
      <c r="F557" s="48" t="s">
        <v>1037</v>
      </c>
      <c r="G557" s="48" t="s">
        <v>1783</v>
      </c>
      <c r="H557" s="48">
        <v>800</v>
      </c>
    </row>
    <row r="558" spans="5:8" x14ac:dyDescent="0.1">
      <c r="E558" s="48" t="s">
        <v>1784</v>
      </c>
      <c r="F558" s="48" t="s">
        <v>1037</v>
      </c>
      <c r="G558" s="48" t="s">
        <v>1785</v>
      </c>
      <c r="H558" s="48">
        <v>800</v>
      </c>
    </row>
    <row r="559" spans="5:8" x14ac:dyDescent="0.1">
      <c r="E559" s="48" t="s">
        <v>1786</v>
      </c>
      <c r="F559" s="48" t="s">
        <v>1037</v>
      </c>
      <c r="G559" s="48" t="s">
        <v>1430</v>
      </c>
      <c r="H559" s="48">
        <v>800</v>
      </c>
    </row>
    <row r="560" spans="5:8" x14ac:dyDescent="0.1">
      <c r="E560" s="48" t="s">
        <v>1787</v>
      </c>
      <c r="F560" s="48" t="s">
        <v>1037</v>
      </c>
      <c r="G560" s="48" t="s">
        <v>1788</v>
      </c>
      <c r="H560" s="48">
        <v>800</v>
      </c>
    </row>
    <row r="561" spans="5:8" x14ac:dyDescent="0.1">
      <c r="E561" s="48" t="s">
        <v>1789</v>
      </c>
      <c r="F561" s="48" t="s">
        <v>1128</v>
      </c>
      <c r="G561" s="48" t="s">
        <v>1790</v>
      </c>
      <c r="H561" s="48">
        <v>800</v>
      </c>
    </row>
    <row r="562" spans="5:8" x14ac:dyDescent="0.1">
      <c r="E562" s="48" t="s">
        <v>1791</v>
      </c>
      <c r="F562" s="48" t="s">
        <v>1037</v>
      </c>
      <c r="G562" s="48" t="s">
        <v>1792</v>
      </c>
      <c r="H562" s="48">
        <v>800</v>
      </c>
    </row>
    <row r="563" spans="5:8" x14ac:dyDescent="0.1">
      <c r="E563" s="48" t="s">
        <v>1793</v>
      </c>
      <c r="F563" s="48" t="s">
        <v>1037</v>
      </c>
      <c r="G563" s="48" t="s">
        <v>1794</v>
      </c>
      <c r="H563" s="48">
        <v>800</v>
      </c>
    </row>
    <row r="564" spans="5:8" x14ac:dyDescent="0.1">
      <c r="E564" s="48" t="s">
        <v>1795</v>
      </c>
      <c r="F564" s="48" t="s">
        <v>1037</v>
      </c>
      <c r="G564" s="48" t="s">
        <v>1796</v>
      </c>
      <c r="H564" s="48">
        <v>800</v>
      </c>
    </row>
    <row r="565" spans="5:8" x14ac:dyDescent="0.1">
      <c r="E565" s="48" t="s">
        <v>1797</v>
      </c>
      <c r="F565" s="48" t="s">
        <v>1128</v>
      </c>
      <c r="G565" s="48" t="s">
        <v>1798</v>
      </c>
      <c r="H565" s="48">
        <v>800</v>
      </c>
    </row>
    <row r="566" spans="5:8" x14ac:dyDescent="0.1">
      <c r="E566" s="48" t="s">
        <v>1799</v>
      </c>
      <c r="F566" s="48" t="s">
        <v>1037</v>
      </c>
      <c r="G566" s="48" t="s">
        <v>1800</v>
      </c>
      <c r="H566" s="48">
        <v>800</v>
      </c>
    </row>
    <row r="567" spans="5:8" x14ac:dyDescent="0.1">
      <c r="E567" s="48" t="s">
        <v>1801</v>
      </c>
      <c r="F567" s="48" t="s">
        <v>1128</v>
      </c>
      <c r="G567" s="48" t="s">
        <v>1802</v>
      </c>
      <c r="H567" s="48">
        <v>800</v>
      </c>
    </row>
    <row r="568" spans="5:8" x14ac:dyDescent="0.1">
      <c r="E568" s="48" t="s">
        <v>1803</v>
      </c>
      <c r="F568" s="48" t="s">
        <v>1037</v>
      </c>
      <c r="G568" s="48" t="s">
        <v>1804</v>
      </c>
      <c r="H568" s="48">
        <v>800</v>
      </c>
    </row>
    <row r="569" spans="5:8" x14ac:dyDescent="0.1">
      <c r="E569" s="48" t="s">
        <v>1805</v>
      </c>
      <c r="F569" s="48" t="s">
        <v>1037</v>
      </c>
      <c r="G569" s="48" t="s">
        <v>1806</v>
      </c>
      <c r="H569" s="48">
        <v>850</v>
      </c>
    </row>
    <row r="570" spans="5:8" x14ac:dyDescent="0.1">
      <c r="E570" s="48" t="s">
        <v>1807</v>
      </c>
      <c r="F570" s="48" t="s">
        <v>1128</v>
      </c>
      <c r="G570" s="48" t="s">
        <v>1808</v>
      </c>
      <c r="H570" s="48">
        <v>850</v>
      </c>
    </row>
    <row r="571" spans="5:8" x14ac:dyDescent="0.1">
      <c r="E571" s="48" t="s">
        <v>1809</v>
      </c>
      <c r="F571" s="48" t="s">
        <v>1128</v>
      </c>
      <c r="G571" s="48" t="s">
        <v>1810</v>
      </c>
      <c r="H571" s="48">
        <v>850</v>
      </c>
    </row>
    <row r="572" spans="5:8" x14ac:dyDescent="0.1">
      <c r="E572" s="48" t="s">
        <v>1811</v>
      </c>
      <c r="F572" s="48" t="s">
        <v>1128</v>
      </c>
      <c r="G572" s="48" t="s">
        <v>1812</v>
      </c>
      <c r="H572" s="48">
        <v>900</v>
      </c>
    </row>
    <row r="573" spans="5:8" x14ac:dyDescent="0.1">
      <c r="E573" s="48" t="s">
        <v>1813</v>
      </c>
      <c r="F573" s="48" t="s">
        <v>1037</v>
      </c>
      <c r="G573" s="48" t="s">
        <v>1814</v>
      </c>
      <c r="H573" s="48">
        <v>900</v>
      </c>
    </row>
    <row r="574" spans="5:8" x14ac:dyDescent="0.1">
      <c r="E574" s="48" t="s">
        <v>1815</v>
      </c>
      <c r="F574" s="48" t="s">
        <v>1128</v>
      </c>
      <c r="G574" s="48" t="s">
        <v>1816</v>
      </c>
      <c r="H574" s="48">
        <v>900</v>
      </c>
    </row>
    <row r="575" spans="5:8" x14ac:dyDescent="0.1">
      <c r="E575" s="48" t="s">
        <v>1817</v>
      </c>
      <c r="F575" s="48" t="s">
        <v>1128</v>
      </c>
      <c r="G575" s="48" t="s">
        <v>1818</v>
      </c>
      <c r="H575" s="48">
        <v>900</v>
      </c>
    </row>
    <row r="576" spans="5:8" x14ac:dyDescent="0.1">
      <c r="E576" s="48" t="s">
        <v>1819</v>
      </c>
      <c r="F576" s="48" t="s">
        <v>1128</v>
      </c>
      <c r="G576" s="48" t="s">
        <v>1820</v>
      </c>
      <c r="H576" s="48">
        <v>900</v>
      </c>
    </row>
    <row r="577" spans="5:8" x14ac:dyDescent="0.1">
      <c r="E577" s="48" t="s">
        <v>1821</v>
      </c>
      <c r="F577" s="48" t="s">
        <v>1037</v>
      </c>
      <c r="G577" s="48" t="s">
        <v>1822</v>
      </c>
      <c r="H577" s="48">
        <v>900</v>
      </c>
    </row>
    <row r="578" spans="5:8" x14ac:dyDescent="0.1">
      <c r="E578" s="48" t="s">
        <v>1823</v>
      </c>
      <c r="F578" s="48" t="s">
        <v>1128</v>
      </c>
      <c r="G578" s="48" t="s">
        <v>1824</v>
      </c>
      <c r="H578" s="48">
        <v>900</v>
      </c>
    </row>
    <row r="579" spans="5:8" x14ac:dyDescent="0.1">
      <c r="E579" s="48" t="s">
        <v>1825</v>
      </c>
      <c r="F579" s="48" t="s">
        <v>1037</v>
      </c>
      <c r="G579" s="48" t="s">
        <v>1826</v>
      </c>
      <c r="H579" s="48">
        <v>900</v>
      </c>
    </row>
    <row r="580" spans="5:8" x14ac:dyDescent="0.1">
      <c r="E580" s="48" t="s">
        <v>1827</v>
      </c>
      <c r="F580" s="48" t="s">
        <v>1037</v>
      </c>
      <c r="G580" s="48" t="s">
        <v>1828</v>
      </c>
      <c r="H580" s="48">
        <v>1000</v>
      </c>
    </row>
    <row r="581" spans="5:8" x14ac:dyDescent="0.1">
      <c r="E581" s="48" t="s">
        <v>1829</v>
      </c>
      <c r="F581" s="48" t="s">
        <v>1037</v>
      </c>
      <c r="G581" s="48" t="s">
        <v>1830</v>
      </c>
      <c r="H581" s="48">
        <v>1000</v>
      </c>
    </row>
    <row r="582" spans="5:8" x14ac:dyDescent="0.1">
      <c r="E582" s="48" t="s">
        <v>1831</v>
      </c>
      <c r="F582" s="48" t="s">
        <v>1037</v>
      </c>
      <c r="G582" s="48" t="s">
        <v>1430</v>
      </c>
      <c r="H582" s="48">
        <v>1000</v>
      </c>
    </row>
    <row r="583" spans="5:8" x14ac:dyDescent="0.1">
      <c r="E583" s="48" t="s">
        <v>1832</v>
      </c>
      <c r="F583" s="48" t="s">
        <v>1128</v>
      </c>
      <c r="G583" s="48" t="s">
        <v>1833</v>
      </c>
      <c r="H583" s="48">
        <v>1000</v>
      </c>
    </row>
    <row r="584" spans="5:8" x14ac:dyDescent="0.1">
      <c r="E584" s="48" t="s">
        <v>1834</v>
      </c>
      <c r="F584" s="48" t="s">
        <v>1128</v>
      </c>
      <c r="G584" s="48" t="s">
        <v>1835</v>
      </c>
      <c r="H584" s="48">
        <v>1000</v>
      </c>
    </row>
    <row r="585" spans="5:8" x14ac:dyDescent="0.1">
      <c r="E585" s="48" t="s">
        <v>1836</v>
      </c>
      <c r="F585" s="48" t="s">
        <v>1128</v>
      </c>
      <c r="G585" s="48" t="s">
        <v>1837</v>
      </c>
      <c r="H585" s="48">
        <v>1000</v>
      </c>
    </row>
    <row r="586" spans="5:8" x14ac:dyDescent="0.1">
      <c r="E586" s="48" t="s">
        <v>1838</v>
      </c>
      <c r="F586" s="48" t="s">
        <v>1128</v>
      </c>
      <c r="G586" s="48" t="s">
        <v>1839</v>
      </c>
      <c r="H586" s="48">
        <v>1000</v>
      </c>
    </row>
    <row r="587" spans="5:8" x14ac:dyDescent="0.1">
      <c r="E587" s="48" t="s">
        <v>1840</v>
      </c>
      <c r="F587" s="48" t="s">
        <v>1128</v>
      </c>
      <c r="G587" s="48" t="s">
        <v>1841</v>
      </c>
      <c r="H587" s="48">
        <v>1000</v>
      </c>
    </row>
    <row r="588" spans="5:8" x14ac:dyDescent="0.1">
      <c r="E588" s="48" t="s">
        <v>1842</v>
      </c>
      <c r="F588" s="48" t="s">
        <v>1128</v>
      </c>
      <c r="G588" s="48" t="s">
        <v>1843</v>
      </c>
      <c r="H588" s="48">
        <v>1000</v>
      </c>
    </row>
    <row r="589" spans="5:8" x14ac:dyDescent="0.1">
      <c r="E589" s="48" t="s">
        <v>1844</v>
      </c>
      <c r="F589" s="48" t="s">
        <v>1037</v>
      </c>
      <c r="G589" s="48" t="s">
        <v>1845</v>
      </c>
      <c r="H589" s="48">
        <v>1000</v>
      </c>
    </row>
    <row r="590" spans="5:8" x14ac:dyDescent="0.1">
      <c r="E590" s="48" t="s">
        <v>1846</v>
      </c>
      <c r="F590" s="48" t="s">
        <v>1037</v>
      </c>
      <c r="G590" s="48" t="s">
        <v>1847</v>
      </c>
      <c r="H590" s="48">
        <v>1000</v>
      </c>
    </row>
    <row r="591" spans="5:8" x14ac:dyDescent="0.1">
      <c r="E591" s="48" t="s">
        <v>1848</v>
      </c>
      <c r="F591" s="48" t="s">
        <v>1128</v>
      </c>
      <c r="G591" s="48" t="s">
        <v>1849</v>
      </c>
      <c r="H591" s="48">
        <v>1100</v>
      </c>
    </row>
    <row r="592" spans="5:8" x14ac:dyDescent="0.1">
      <c r="E592" s="48" t="s">
        <v>1850</v>
      </c>
      <c r="F592" s="48" t="s">
        <v>1037</v>
      </c>
      <c r="G592" s="48" t="s">
        <v>1851</v>
      </c>
      <c r="H592" s="48">
        <v>1100</v>
      </c>
    </row>
    <row r="593" spans="5:8" x14ac:dyDescent="0.1">
      <c r="E593" s="48" t="s">
        <v>1852</v>
      </c>
      <c r="F593" s="48" t="s">
        <v>1037</v>
      </c>
      <c r="G593" s="48" t="s">
        <v>1430</v>
      </c>
      <c r="H593" s="48">
        <v>1100</v>
      </c>
    </row>
    <row r="594" spans="5:8" x14ac:dyDescent="0.1">
      <c r="E594" s="48" t="s">
        <v>1853</v>
      </c>
      <c r="F594" s="48" t="s">
        <v>1128</v>
      </c>
      <c r="G594" s="48" t="s">
        <v>1854</v>
      </c>
      <c r="H594" s="48">
        <v>1100</v>
      </c>
    </row>
    <row r="595" spans="5:8" x14ac:dyDescent="0.1">
      <c r="E595" s="48" t="s">
        <v>1855</v>
      </c>
      <c r="F595" s="48" t="s">
        <v>1128</v>
      </c>
      <c r="G595" s="48" t="s">
        <v>1856</v>
      </c>
      <c r="H595" s="48">
        <v>1100</v>
      </c>
    </row>
    <row r="596" spans="5:8" x14ac:dyDescent="0.1">
      <c r="E596" s="48" t="s">
        <v>1857</v>
      </c>
      <c r="F596" s="48" t="s">
        <v>1128</v>
      </c>
      <c r="G596" s="48" t="s">
        <v>1858</v>
      </c>
      <c r="H596" s="48">
        <v>1100</v>
      </c>
    </row>
    <row r="597" spans="5:8" x14ac:dyDescent="0.1">
      <c r="E597" s="48" t="s">
        <v>1859</v>
      </c>
      <c r="F597" s="48" t="s">
        <v>1037</v>
      </c>
      <c r="G597" s="48" t="s">
        <v>1860</v>
      </c>
      <c r="H597" s="48">
        <v>1100</v>
      </c>
    </row>
    <row r="598" spans="5:8" x14ac:dyDescent="0.1">
      <c r="E598" s="48" t="s">
        <v>1861</v>
      </c>
      <c r="F598" s="48" t="s">
        <v>1037</v>
      </c>
      <c r="G598" s="48" t="s">
        <v>1862</v>
      </c>
      <c r="H598" s="48">
        <v>1100</v>
      </c>
    </row>
    <row r="599" spans="5:8" x14ac:dyDescent="0.1">
      <c r="E599" s="48" t="s">
        <v>1863</v>
      </c>
      <c r="F599" s="48" t="s">
        <v>1037</v>
      </c>
      <c r="G599" s="48" t="s">
        <v>1864</v>
      </c>
      <c r="H599" s="48">
        <v>1200</v>
      </c>
    </row>
    <row r="600" spans="5:8" x14ac:dyDescent="0.1">
      <c r="E600" s="48" t="s">
        <v>1865</v>
      </c>
      <c r="F600" s="48" t="s">
        <v>1037</v>
      </c>
      <c r="G600" s="48" t="s">
        <v>1489</v>
      </c>
      <c r="H600" s="48">
        <v>1200</v>
      </c>
    </row>
    <row r="601" spans="5:8" x14ac:dyDescent="0.1">
      <c r="E601" s="48" t="s">
        <v>1866</v>
      </c>
      <c r="F601" s="48" t="s">
        <v>1037</v>
      </c>
      <c r="G601" s="48" t="s">
        <v>1867</v>
      </c>
      <c r="H601" s="48">
        <v>1200</v>
      </c>
    </row>
    <row r="602" spans="5:8" x14ac:dyDescent="0.1">
      <c r="E602" s="48" t="s">
        <v>1868</v>
      </c>
      <c r="F602" s="48" t="s">
        <v>1037</v>
      </c>
      <c r="G602" s="48" t="s">
        <v>1869</v>
      </c>
      <c r="H602" s="48">
        <v>1200</v>
      </c>
    </row>
    <row r="603" spans="5:8" x14ac:dyDescent="0.1">
      <c r="E603" s="48" t="s">
        <v>1870</v>
      </c>
      <c r="F603" s="48" t="s">
        <v>1128</v>
      </c>
      <c r="G603" s="48" t="s">
        <v>1871</v>
      </c>
      <c r="H603" s="48">
        <v>1200</v>
      </c>
    </row>
    <row r="604" spans="5:8" x14ac:dyDescent="0.1">
      <c r="E604" s="48" t="s">
        <v>1872</v>
      </c>
      <c r="F604" s="48" t="s">
        <v>1037</v>
      </c>
      <c r="G604" s="48" t="s">
        <v>1430</v>
      </c>
      <c r="H604" s="48">
        <v>1200</v>
      </c>
    </row>
    <row r="605" spans="5:8" x14ac:dyDescent="0.1">
      <c r="E605" s="48" t="s">
        <v>1873</v>
      </c>
      <c r="F605" s="48" t="s">
        <v>1128</v>
      </c>
      <c r="G605" s="48" t="s">
        <v>1874</v>
      </c>
      <c r="H605" s="48">
        <v>1200</v>
      </c>
    </row>
    <row r="606" spans="5:8" x14ac:dyDescent="0.1">
      <c r="E606" s="48" t="s">
        <v>1875</v>
      </c>
      <c r="F606" s="48" t="s">
        <v>1128</v>
      </c>
      <c r="G606" s="48" t="s">
        <v>1876</v>
      </c>
      <c r="H606" s="48">
        <v>1200</v>
      </c>
    </row>
    <row r="607" spans="5:8" x14ac:dyDescent="0.1">
      <c r="E607" s="48" t="s">
        <v>1877</v>
      </c>
      <c r="F607" s="48" t="s">
        <v>1037</v>
      </c>
      <c r="G607" s="48" t="s">
        <v>1878</v>
      </c>
      <c r="H607" s="48">
        <v>1200</v>
      </c>
    </row>
    <row r="608" spans="5:8" x14ac:dyDescent="0.1">
      <c r="E608" s="48" t="s">
        <v>1879</v>
      </c>
      <c r="F608" s="48" t="s">
        <v>1128</v>
      </c>
      <c r="G608" s="48" t="s">
        <v>1880</v>
      </c>
      <c r="H608" s="48">
        <v>1200</v>
      </c>
    </row>
    <row r="609" spans="5:8" x14ac:dyDescent="0.1">
      <c r="E609" s="48" t="s">
        <v>1881</v>
      </c>
      <c r="F609" s="48" t="s">
        <v>1128</v>
      </c>
      <c r="G609" s="48" t="s">
        <v>1882</v>
      </c>
      <c r="H609" s="48">
        <v>1200</v>
      </c>
    </row>
    <row r="610" spans="5:8" x14ac:dyDescent="0.1">
      <c r="E610" s="48" t="s">
        <v>1883</v>
      </c>
      <c r="F610" s="48" t="s">
        <v>1037</v>
      </c>
      <c r="G610" s="48" t="s">
        <v>1884</v>
      </c>
      <c r="H610" s="48">
        <v>1200</v>
      </c>
    </row>
    <row r="611" spans="5:8" x14ac:dyDescent="0.1">
      <c r="E611" s="48" t="s">
        <v>1885</v>
      </c>
      <c r="F611" s="48" t="s">
        <v>1128</v>
      </c>
      <c r="G611" s="48" t="s">
        <v>1886</v>
      </c>
      <c r="H611" s="48">
        <v>1200</v>
      </c>
    </row>
    <row r="612" spans="5:8" x14ac:dyDescent="0.1">
      <c r="E612" s="48" t="s">
        <v>1887</v>
      </c>
      <c r="F612" s="48" t="s">
        <v>1128</v>
      </c>
      <c r="G612" s="48" t="s">
        <v>1888</v>
      </c>
      <c r="H612" s="48">
        <v>1200</v>
      </c>
    </row>
    <row r="613" spans="5:8" x14ac:dyDescent="0.1">
      <c r="E613" s="48" t="s">
        <v>1889</v>
      </c>
      <c r="F613" s="48" t="s">
        <v>1037</v>
      </c>
      <c r="G613" s="48" t="s">
        <v>1890</v>
      </c>
      <c r="H613" s="48">
        <v>1200</v>
      </c>
    </row>
    <row r="614" spans="5:8" x14ac:dyDescent="0.1">
      <c r="E614" s="48" t="s">
        <v>1891</v>
      </c>
      <c r="F614" s="48" t="s">
        <v>1128</v>
      </c>
      <c r="G614" s="48" t="s">
        <v>1892</v>
      </c>
      <c r="H614" s="48">
        <v>1200</v>
      </c>
    </row>
    <row r="615" spans="5:8" x14ac:dyDescent="0.1">
      <c r="E615" s="48" t="s">
        <v>1893</v>
      </c>
      <c r="F615" s="48" t="s">
        <v>1037</v>
      </c>
      <c r="G615" s="48" t="s">
        <v>1894</v>
      </c>
      <c r="H615" s="48">
        <v>1200</v>
      </c>
    </row>
    <row r="616" spans="5:8" x14ac:dyDescent="0.1">
      <c r="E616" s="48" t="s">
        <v>1895</v>
      </c>
      <c r="F616" s="48" t="s">
        <v>1037</v>
      </c>
      <c r="G616" s="48" t="s">
        <v>1896</v>
      </c>
      <c r="H616" s="48">
        <v>1200</v>
      </c>
    </row>
    <row r="617" spans="5:8" x14ac:dyDescent="0.1">
      <c r="E617" s="48" t="s">
        <v>1897</v>
      </c>
      <c r="F617" s="48" t="s">
        <v>1037</v>
      </c>
      <c r="G617" s="48" t="s">
        <v>1898</v>
      </c>
      <c r="H617" s="48">
        <v>1250</v>
      </c>
    </row>
    <row r="618" spans="5:8" x14ac:dyDescent="0.1">
      <c r="E618" s="48" t="s">
        <v>1899</v>
      </c>
      <c r="F618" s="48" t="s">
        <v>1037</v>
      </c>
      <c r="G618" s="48" t="s">
        <v>1900</v>
      </c>
      <c r="H618" s="48">
        <v>1300</v>
      </c>
    </row>
    <row r="619" spans="5:8" x14ac:dyDescent="0.1">
      <c r="E619" s="48" t="s">
        <v>1901</v>
      </c>
      <c r="F619" s="48" t="s">
        <v>1037</v>
      </c>
      <c r="G619" s="48" t="s">
        <v>1902</v>
      </c>
      <c r="H619" s="48">
        <v>1300</v>
      </c>
    </row>
    <row r="620" spans="5:8" x14ac:dyDescent="0.1">
      <c r="E620" s="48" t="s">
        <v>1903</v>
      </c>
      <c r="F620" s="48" t="s">
        <v>1037</v>
      </c>
      <c r="G620" s="48" t="s">
        <v>1904</v>
      </c>
      <c r="H620" s="48">
        <v>1400</v>
      </c>
    </row>
    <row r="621" spans="5:8" x14ac:dyDescent="0.1">
      <c r="E621" s="48" t="s">
        <v>1905</v>
      </c>
      <c r="F621" s="48" t="s">
        <v>1128</v>
      </c>
      <c r="G621" s="48" t="s">
        <v>1906</v>
      </c>
      <c r="H621" s="48">
        <v>1400</v>
      </c>
    </row>
    <row r="622" spans="5:8" x14ac:dyDescent="0.1">
      <c r="E622" s="48" t="s">
        <v>1907</v>
      </c>
      <c r="F622" s="48" t="s">
        <v>1128</v>
      </c>
      <c r="G622" s="48" t="s">
        <v>1908</v>
      </c>
      <c r="H622" s="48">
        <v>1400</v>
      </c>
    </row>
    <row r="623" spans="5:8" x14ac:dyDescent="0.1">
      <c r="E623" s="48" t="s">
        <v>1909</v>
      </c>
      <c r="F623" s="48" t="s">
        <v>1037</v>
      </c>
      <c r="G623" s="48" t="s">
        <v>1910</v>
      </c>
      <c r="H623" s="48">
        <v>1400</v>
      </c>
    </row>
    <row r="624" spans="5:8" x14ac:dyDescent="0.1">
      <c r="E624" s="48" t="s">
        <v>1911</v>
      </c>
      <c r="F624" s="48" t="s">
        <v>1037</v>
      </c>
      <c r="G624" s="48" t="s">
        <v>1912</v>
      </c>
      <c r="H624" s="48">
        <v>1400</v>
      </c>
    </row>
    <row r="625" spans="5:8" x14ac:dyDescent="0.1">
      <c r="E625" s="48" t="s">
        <v>1913</v>
      </c>
      <c r="F625" s="48" t="s">
        <v>1037</v>
      </c>
      <c r="G625" s="48" t="s">
        <v>1590</v>
      </c>
      <c r="H625" s="48">
        <v>1400</v>
      </c>
    </row>
    <row r="626" spans="5:8" x14ac:dyDescent="0.1">
      <c r="E626" s="48" t="s">
        <v>1914</v>
      </c>
      <c r="F626" s="48" t="s">
        <v>1037</v>
      </c>
      <c r="G626" s="48" t="s">
        <v>1915</v>
      </c>
      <c r="H626" s="48">
        <v>1400</v>
      </c>
    </row>
    <row r="627" spans="5:8" x14ac:dyDescent="0.1">
      <c r="E627" s="48" t="s">
        <v>1916</v>
      </c>
      <c r="F627" s="48" t="s">
        <v>1037</v>
      </c>
      <c r="G627" s="48" t="s">
        <v>1917</v>
      </c>
      <c r="H627" s="48">
        <v>1500</v>
      </c>
    </row>
    <row r="628" spans="5:8" x14ac:dyDescent="0.1">
      <c r="E628" s="48" t="s">
        <v>1918</v>
      </c>
      <c r="F628" s="48" t="s">
        <v>1037</v>
      </c>
      <c r="G628" s="48" t="s">
        <v>1308</v>
      </c>
      <c r="H628" s="48">
        <v>1500</v>
      </c>
    </row>
    <row r="629" spans="5:8" x14ac:dyDescent="0.1">
      <c r="E629" s="48" t="s">
        <v>1919</v>
      </c>
      <c r="F629" s="48" t="s">
        <v>1128</v>
      </c>
      <c r="G629" s="48" t="s">
        <v>1833</v>
      </c>
      <c r="H629" s="48">
        <v>1500</v>
      </c>
    </row>
    <row r="630" spans="5:8" x14ac:dyDescent="0.1">
      <c r="E630" s="48" t="s">
        <v>1920</v>
      </c>
      <c r="F630" s="48" t="s">
        <v>1128</v>
      </c>
      <c r="G630" s="48" t="s">
        <v>1921</v>
      </c>
      <c r="H630" s="48">
        <v>1500</v>
      </c>
    </row>
    <row r="631" spans="5:8" x14ac:dyDescent="0.1">
      <c r="E631" s="48" t="s">
        <v>1922</v>
      </c>
      <c r="F631" s="48" t="s">
        <v>1128</v>
      </c>
      <c r="G631" s="48" t="s">
        <v>1923</v>
      </c>
      <c r="H631" s="48">
        <v>1500</v>
      </c>
    </row>
    <row r="632" spans="5:8" x14ac:dyDescent="0.1">
      <c r="E632" s="48" t="s">
        <v>1924</v>
      </c>
      <c r="F632" s="48" t="s">
        <v>1128</v>
      </c>
      <c r="G632" s="48" t="s">
        <v>1925</v>
      </c>
      <c r="H632" s="48">
        <v>1500</v>
      </c>
    </row>
    <row r="633" spans="5:8" x14ac:dyDescent="0.1">
      <c r="E633" s="48" t="s">
        <v>1926</v>
      </c>
      <c r="F633" s="48" t="s">
        <v>1128</v>
      </c>
      <c r="G633" s="48" t="s">
        <v>1927</v>
      </c>
      <c r="H633" s="48">
        <v>1500</v>
      </c>
    </row>
    <row r="634" spans="5:8" x14ac:dyDescent="0.1">
      <c r="E634" s="48" t="s">
        <v>1928</v>
      </c>
      <c r="F634" s="48" t="s">
        <v>1037</v>
      </c>
      <c r="G634" s="48" t="s">
        <v>1929</v>
      </c>
      <c r="H634" s="48">
        <v>1500</v>
      </c>
    </row>
    <row r="635" spans="5:8" x14ac:dyDescent="0.1">
      <c r="E635" s="48" t="s">
        <v>1930</v>
      </c>
      <c r="F635" s="48" t="s">
        <v>1037</v>
      </c>
      <c r="G635" s="48" t="s">
        <v>1931</v>
      </c>
      <c r="H635" s="48">
        <v>1500</v>
      </c>
    </row>
    <row r="636" spans="5:8" x14ac:dyDescent="0.1">
      <c r="E636" s="48" t="s">
        <v>1932</v>
      </c>
      <c r="F636" s="48" t="s">
        <v>1037</v>
      </c>
      <c r="G636" s="48" t="s">
        <v>1933</v>
      </c>
      <c r="H636" s="48">
        <v>1500</v>
      </c>
    </row>
    <row r="637" spans="5:8" x14ac:dyDescent="0.1">
      <c r="E637" s="48" t="s">
        <v>1934</v>
      </c>
      <c r="F637" s="48" t="s">
        <v>1037</v>
      </c>
      <c r="G637" s="48" t="s">
        <v>1935</v>
      </c>
      <c r="H637" s="48">
        <v>1500</v>
      </c>
    </row>
    <row r="638" spans="5:8" x14ac:dyDescent="0.1">
      <c r="E638" s="48" t="s">
        <v>1936</v>
      </c>
      <c r="F638" s="48" t="s">
        <v>1037</v>
      </c>
      <c r="G638" s="48" t="s">
        <v>1937</v>
      </c>
      <c r="H638" s="48">
        <v>1500</v>
      </c>
    </row>
    <row r="639" spans="5:8" x14ac:dyDescent="0.1">
      <c r="E639" s="48" t="s">
        <v>1938</v>
      </c>
      <c r="F639" s="48" t="s">
        <v>1037</v>
      </c>
      <c r="G639" s="48" t="s">
        <v>1939</v>
      </c>
      <c r="H639" s="48">
        <v>1500</v>
      </c>
    </row>
    <row r="640" spans="5:8" x14ac:dyDescent="0.1">
      <c r="E640" s="48" t="s">
        <v>1940</v>
      </c>
      <c r="F640" s="48" t="s">
        <v>1037</v>
      </c>
      <c r="G640" s="48" t="s">
        <v>1941</v>
      </c>
      <c r="H640" s="48">
        <v>1600</v>
      </c>
    </row>
    <row r="641" spans="5:8" x14ac:dyDescent="0.1">
      <c r="E641" s="48" t="s">
        <v>1942</v>
      </c>
      <c r="F641" s="48" t="s">
        <v>1128</v>
      </c>
      <c r="G641" s="48" t="s">
        <v>1943</v>
      </c>
      <c r="H641" s="48">
        <v>1600</v>
      </c>
    </row>
    <row r="642" spans="5:8" x14ac:dyDescent="0.1">
      <c r="E642" s="48" t="s">
        <v>1944</v>
      </c>
      <c r="F642" s="48" t="s">
        <v>1128</v>
      </c>
      <c r="G642" s="48" t="s">
        <v>1945</v>
      </c>
      <c r="H642" s="48">
        <v>1600</v>
      </c>
    </row>
    <row r="643" spans="5:8" x14ac:dyDescent="0.1">
      <c r="E643" s="48" t="s">
        <v>1946</v>
      </c>
      <c r="F643" s="48" t="s">
        <v>1128</v>
      </c>
      <c r="G643" s="48" t="s">
        <v>1947</v>
      </c>
      <c r="H643" s="48">
        <v>1600</v>
      </c>
    </row>
    <row r="644" spans="5:8" x14ac:dyDescent="0.1">
      <c r="E644" s="48" t="s">
        <v>1948</v>
      </c>
      <c r="F644" s="48" t="s">
        <v>1128</v>
      </c>
      <c r="G644" s="48" t="s">
        <v>1949</v>
      </c>
      <c r="H644" s="48">
        <v>1700</v>
      </c>
    </row>
    <row r="645" spans="5:8" x14ac:dyDescent="0.1">
      <c r="E645" s="48" t="s">
        <v>1950</v>
      </c>
      <c r="F645" s="48" t="s">
        <v>1037</v>
      </c>
      <c r="G645" s="48" t="s">
        <v>1951</v>
      </c>
      <c r="H645" s="48">
        <v>1700</v>
      </c>
    </row>
    <row r="646" spans="5:8" x14ac:dyDescent="0.1">
      <c r="E646" s="48" t="s">
        <v>1952</v>
      </c>
      <c r="F646" s="48" t="s">
        <v>1037</v>
      </c>
      <c r="G646" s="48" t="s">
        <v>1953</v>
      </c>
      <c r="H646" s="48">
        <v>1700</v>
      </c>
    </row>
    <row r="647" spans="5:8" x14ac:dyDescent="0.1">
      <c r="E647" s="48" t="s">
        <v>1954</v>
      </c>
      <c r="F647" s="48" t="s">
        <v>1037</v>
      </c>
      <c r="G647" s="48" t="s">
        <v>1955</v>
      </c>
      <c r="H647" s="48">
        <v>1700</v>
      </c>
    </row>
    <row r="648" spans="5:8" x14ac:dyDescent="0.1">
      <c r="E648" s="48" t="s">
        <v>1956</v>
      </c>
      <c r="F648" s="48" t="s">
        <v>1128</v>
      </c>
      <c r="G648" s="48" t="s">
        <v>1957</v>
      </c>
      <c r="H648" s="48">
        <v>1750</v>
      </c>
    </row>
    <row r="649" spans="5:8" x14ac:dyDescent="0.1">
      <c r="E649" s="48" t="s">
        <v>1958</v>
      </c>
      <c r="F649" s="48" t="s">
        <v>1128</v>
      </c>
      <c r="G649" s="48" t="s">
        <v>1959</v>
      </c>
      <c r="H649" s="48">
        <v>1800</v>
      </c>
    </row>
    <row r="650" spans="5:8" x14ac:dyDescent="0.1">
      <c r="E650" s="48" t="s">
        <v>1960</v>
      </c>
      <c r="F650" s="48" t="s">
        <v>1037</v>
      </c>
      <c r="G650" s="48" t="s">
        <v>1048</v>
      </c>
      <c r="H650" s="48">
        <v>1800</v>
      </c>
    </row>
    <row r="651" spans="5:8" x14ac:dyDescent="0.1">
      <c r="E651" s="48" t="s">
        <v>1961</v>
      </c>
      <c r="F651" s="48" t="s">
        <v>1037</v>
      </c>
      <c r="G651" s="48" t="s">
        <v>1430</v>
      </c>
      <c r="H651" s="48">
        <v>1800</v>
      </c>
    </row>
    <row r="652" spans="5:8" x14ac:dyDescent="0.1">
      <c r="E652" s="48" t="s">
        <v>1962</v>
      </c>
      <c r="F652" s="48" t="s">
        <v>1128</v>
      </c>
      <c r="G652" s="48" t="s">
        <v>1963</v>
      </c>
      <c r="H652" s="48">
        <v>1800</v>
      </c>
    </row>
    <row r="653" spans="5:8" x14ac:dyDescent="0.1">
      <c r="E653" s="48" t="s">
        <v>1964</v>
      </c>
      <c r="F653" s="48" t="s">
        <v>1037</v>
      </c>
      <c r="G653" s="48" t="s">
        <v>1965</v>
      </c>
      <c r="H653" s="48">
        <v>1800</v>
      </c>
    </row>
    <row r="654" spans="5:8" x14ac:dyDescent="0.1">
      <c r="E654" s="48" t="s">
        <v>1966</v>
      </c>
      <c r="F654" s="48" t="s">
        <v>1037</v>
      </c>
      <c r="G654" s="48" t="s">
        <v>1967</v>
      </c>
      <c r="H654" s="48">
        <v>1800</v>
      </c>
    </row>
    <row r="655" spans="5:8" x14ac:dyDescent="0.1">
      <c r="E655" s="48" t="s">
        <v>1968</v>
      </c>
      <c r="F655" s="48" t="s">
        <v>1037</v>
      </c>
      <c r="G655" s="48" t="s">
        <v>1430</v>
      </c>
      <c r="H655" s="48">
        <v>1900</v>
      </c>
    </row>
    <row r="656" spans="5:8" x14ac:dyDescent="0.1">
      <c r="E656" s="48" t="s">
        <v>1969</v>
      </c>
      <c r="F656" s="48" t="s">
        <v>1128</v>
      </c>
      <c r="G656" s="48" t="s">
        <v>1970</v>
      </c>
      <c r="H656" s="48">
        <v>1900</v>
      </c>
    </row>
    <row r="657" spans="5:8" x14ac:dyDescent="0.1">
      <c r="E657" s="48" t="s">
        <v>1971</v>
      </c>
      <c r="F657" s="48" t="s">
        <v>1128</v>
      </c>
      <c r="G657" s="48" t="s">
        <v>1972</v>
      </c>
      <c r="H657" s="48">
        <v>1900</v>
      </c>
    </row>
    <row r="658" spans="5:8" x14ac:dyDescent="0.1">
      <c r="E658" s="48" t="s">
        <v>1973</v>
      </c>
      <c r="F658" s="48" t="s">
        <v>1128</v>
      </c>
      <c r="G658" s="48" t="s">
        <v>1974</v>
      </c>
      <c r="H658" s="48">
        <v>1900</v>
      </c>
    </row>
    <row r="659" spans="5:8" x14ac:dyDescent="0.1">
      <c r="E659" s="48" t="s">
        <v>1975</v>
      </c>
      <c r="F659" s="48" t="s">
        <v>1128</v>
      </c>
      <c r="G659" s="48" t="s">
        <v>1959</v>
      </c>
      <c r="H659" s="48">
        <v>2000</v>
      </c>
    </row>
    <row r="660" spans="5:8" x14ac:dyDescent="0.1">
      <c r="E660" s="48" t="s">
        <v>1976</v>
      </c>
      <c r="F660" s="48" t="s">
        <v>1128</v>
      </c>
      <c r="G660" s="48" t="s">
        <v>1977</v>
      </c>
      <c r="H660" s="48">
        <v>2000</v>
      </c>
    </row>
    <row r="661" spans="5:8" x14ac:dyDescent="0.1">
      <c r="E661" s="48" t="s">
        <v>1978</v>
      </c>
      <c r="F661" s="48" t="s">
        <v>1128</v>
      </c>
      <c r="G661" s="48" t="s">
        <v>1833</v>
      </c>
      <c r="H661" s="48">
        <v>2000</v>
      </c>
    </row>
    <row r="662" spans="5:8" x14ac:dyDescent="0.1">
      <c r="E662" s="48" t="s">
        <v>1979</v>
      </c>
      <c r="F662" s="48" t="s">
        <v>1128</v>
      </c>
      <c r="G662" s="48" t="s">
        <v>1980</v>
      </c>
      <c r="H662" s="48">
        <v>2000</v>
      </c>
    </row>
    <row r="663" spans="5:8" x14ac:dyDescent="0.1">
      <c r="E663" s="48" t="s">
        <v>1981</v>
      </c>
      <c r="F663" s="48" t="s">
        <v>1037</v>
      </c>
      <c r="G663" s="48" t="s">
        <v>1982</v>
      </c>
      <c r="H663" s="48">
        <v>2000</v>
      </c>
    </row>
    <row r="664" spans="5:8" x14ac:dyDescent="0.1">
      <c r="E664" s="48" t="s">
        <v>1983</v>
      </c>
      <c r="F664" s="48" t="s">
        <v>1037</v>
      </c>
      <c r="G664" s="48" t="s">
        <v>1984</v>
      </c>
      <c r="H664" s="48">
        <v>2000</v>
      </c>
    </row>
    <row r="665" spans="5:8" x14ac:dyDescent="0.1">
      <c r="E665" s="48" t="s">
        <v>1985</v>
      </c>
      <c r="F665" s="48" t="s">
        <v>1037</v>
      </c>
      <c r="G665" s="48" t="s">
        <v>1986</v>
      </c>
      <c r="H665" s="48">
        <v>2000</v>
      </c>
    </row>
    <row r="666" spans="5:8" x14ac:dyDescent="0.1">
      <c r="E666" s="48" t="s">
        <v>1987</v>
      </c>
      <c r="F666" s="48" t="s">
        <v>1037</v>
      </c>
      <c r="G666" s="48" t="s">
        <v>1988</v>
      </c>
      <c r="H666" s="48">
        <v>2000</v>
      </c>
    </row>
    <row r="667" spans="5:8" x14ac:dyDescent="0.1">
      <c r="E667" s="48" t="s">
        <v>1989</v>
      </c>
      <c r="F667" s="48" t="s">
        <v>1037</v>
      </c>
      <c r="G667" s="48" t="s">
        <v>1990</v>
      </c>
      <c r="H667" s="48">
        <v>2000</v>
      </c>
    </row>
    <row r="668" spans="5:8" x14ac:dyDescent="0.1">
      <c r="E668" s="48" t="s">
        <v>1991</v>
      </c>
      <c r="F668" s="48" t="s">
        <v>1037</v>
      </c>
      <c r="G668" s="48" t="s">
        <v>1992</v>
      </c>
      <c r="H668" s="48">
        <v>2000</v>
      </c>
    </row>
    <row r="669" spans="5:8" x14ac:dyDescent="0.1">
      <c r="E669" s="48" t="s">
        <v>1993</v>
      </c>
      <c r="F669" s="48" t="s">
        <v>1037</v>
      </c>
      <c r="G669" s="48" t="s">
        <v>1994</v>
      </c>
      <c r="H669" s="48">
        <v>2000</v>
      </c>
    </row>
    <row r="670" spans="5:8" x14ac:dyDescent="0.1">
      <c r="E670" s="48" t="s">
        <v>1995</v>
      </c>
      <c r="F670" s="48" t="s">
        <v>1128</v>
      </c>
      <c r="G670" s="48" t="s">
        <v>1996</v>
      </c>
      <c r="H670" s="48">
        <v>2000</v>
      </c>
    </row>
    <row r="671" spans="5:8" x14ac:dyDescent="0.1">
      <c r="E671" s="48" t="s">
        <v>1997</v>
      </c>
      <c r="F671" s="48" t="s">
        <v>1037</v>
      </c>
      <c r="G671" s="48" t="s">
        <v>1998</v>
      </c>
      <c r="H671" s="48">
        <v>2050</v>
      </c>
    </row>
    <row r="672" spans="5:8" x14ac:dyDescent="0.1">
      <c r="E672" s="48" t="s">
        <v>1999</v>
      </c>
      <c r="F672" s="48" t="s">
        <v>1128</v>
      </c>
      <c r="G672" s="48" t="s">
        <v>2000</v>
      </c>
      <c r="H672" s="48">
        <v>2100</v>
      </c>
    </row>
    <row r="673" spans="5:8" x14ac:dyDescent="0.1">
      <c r="E673" s="48" t="s">
        <v>2001</v>
      </c>
      <c r="F673" s="48" t="s">
        <v>1037</v>
      </c>
      <c r="G673" s="48" t="s">
        <v>2002</v>
      </c>
      <c r="H673" s="48">
        <v>2100</v>
      </c>
    </row>
    <row r="674" spans="5:8" x14ac:dyDescent="0.1">
      <c r="E674" s="48" t="s">
        <v>2003</v>
      </c>
      <c r="F674" s="48" t="s">
        <v>1037</v>
      </c>
      <c r="G674" s="48" t="s">
        <v>2004</v>
      </c>
      <c r="H674" s="48">
        <v>2100</v>
      </c>
    </row>
    <row r="675" spans="5:8" x14ac:dyDescent="0.1">
      <c r="E675" s="48" t="s">
        <v>2005</v>
      </c>
      <c r="F675" s="48" t="s">
        <v>1037</v>
      </c>
      <c r="G675" s="48" t="s">
        <v>1430</v>
      </c>
      <c r="H675" s="48">
        <v>2200</v>
      </c>
    </row>
    <row r="676" spans="5:8" x14ac:dyDescent="0.1">
      <c r="E676" s="48" t="s">
        <v>2006</v>
      </c>
      <c r="F676" s="48" t="s">
        <v>1128</v>
      </c>
      <c r="G676" s="48" t="s">
        <v>2007</v>
      </c>
      <c r="H676" s="48">
        <v>2200</v>
      </c>
    </row>
    <row r="677" spans="5:8" x14ac:dyDescent="0.1">
      <c r="E677" s="48" t="s">
        <v>2008</v>
      </c>
      <c r="F677" s="48" t="s">
        <v>1128</v>
      </c>
      <c r="G677" s="48" t="s">
        <v>2009</v>
      </c>
      <c r="H677" s="48">
        <v>2200</v>
      </c>
    </row>
    <row r="678" spans="5:8" x14ac:dyDescent="0.1">
      <c r="E678" s="48" t="s">
        <v>181</v>
      </c>
      <c r="F678" s="48" t="s">
        <v>1037</v>
      </c>
      <c r="G678" s="48" t="s">
        <v>182</v>
      </c>
      <c r="H678" s="48">
        <v>2200</v>
      </c>
    </row>
    <row r="679" spans="5:8" x14ac:dyDescent="0.1">
      <c r="E679" s="48" t="s">
        <v>2010</v>
      </c>
      <c r="F679" s="48" t="s">
        <v>1128</v>
      </c>
      <c r="G679" s="48" t="s">
        <v>2011</v>
      </c>
      <c r="H679" s="48">
        <v>2200</v>
      </c>
    </row>
    <row r="680" spans="5:8" x14ac:dyDescent="0.1">
      <c r="E680" s="48" t="s">
        <v>2012</v>
      </c>
      <c r="F680" s="48" t="s">
        <v>1037</v>
      </c>
      <c r="G680" s="48" t="s">
        <v>2013</v>
      </c>
      <c r="H680" s="48">
        <v>2200</v>
      </c>
    </row>
    <row r="681" spans="5:8" x14ac:dyDescent="0.1">
      <c r="E681" s="48" t="s">
        <v>2014</v>
      </c>
      <c r="F681" s="48" t="s">
        <v>1037</v>
      </c>
      <c r="G681" s="48" t="s">
        <v>1430</v>
      </c>
      <c r="H681" s="48">
        <v>2300</v>
      </c>
    </row>
    <row r="682" spans="5:8" x14ac:dyDescent="0.1">
      <c r="E682" s="48" t="s">
        <v>2015</v>
      </c>
      <c r="F682" s="48" t="s">
        <v>1128</v>
      </c>
      <c r="G682" s="48" t="s">
        <v>2016</v>
      </c>
      <c r="H682" s="48">
        <v>2300</v>
      </c>
    </row>
    <row r="683" spans="5:8" x14ac:dyDescent="0.1">
      <c r="E683" s="48" t="s">
        <v>2017</v>
      </c>
      <c r="F683" s="48" t="s">
        <v>1128</v>
      </c>
      <c r="G683" s="48" t="s">
        <v>2018</v>
      </c>
      <c r="H683" s="48">
        <v>2300</v>
      </c>
    </row>
    <row r="684" spans="5:8" x14ac:dyDescent="0.1">
      <c r="E684" s="48" t="s">
        <v>2019</v>
      </c>
      <c r="F684" s="48" t="s">
        <v>1128</v>
      </c>
      <c r="G684" s="48" t="s">
        <v>2020</v>
      </c>
      <c r="H684" s="48">
        <v>2300</v>
      </c>
    </row>
    <row r="685" spans="5:8" x14ac:dyDescent="0.1">
      <c r="E685" s="48" t="s">
        <v>2021</v>
      </c>
      <c r="F685" s="48" t="s">
        <v>1128</v>
      </c>
      <c r="G685" s="48" t="s">
        <v>1959</v>
      </c>
      <c r="H685" s="48">
        <v>2400</v>
      </c>
    </row>
    <row r="686" spans="5:8" x14ac:dyDescent="0.1">
      <c r="E686" s="48" t="s">
        <v>2022</v>
      </c>
      <c r="F686" s="48" t="s">
        <v>1037</v>
      </c>
      <c r="G686" s="48" t="s">
        <v>1430</v>
      </c>
      <c r="H686" s="48">
        <v>2400</v>
      </c>
    </row>
    <row r="687" spans="5:8" x14ac:dyDescent="0.1">
      <c r="E687" s="48" t="s">
        <v>2023</v>
      </c>
      <c r="F687" s="48" t="s">
        <v>1128</v>
      </c>
      <c r="G687" s="48" t="s">
        <v>2024</v>
      </c>
      <c r="H687" s="48">
        <v>2400</v>
      </c>
    </row>
    <row r="688" spans="5:8" x14ac:dyDescent="0.1">
      <c r="E688" s="48" t="s">
        <v>2025</v>
      </c>
      <c r="F688" s="48" t="s">
        <v>1037</v>
      </c>
      <c r="G688" s="48" t="s">
        <v>1508</v>
      </c>
      <c r="H688" s="48">
        <v>2400</v>
      </c>
    </row>
    <row r="689" spans="5:8" x14ac:dyDescent="0.1">
      <c r="E689" s="48" t="s">
        <v>2026</v>
      </c>
      <c r="F689" s="48" t="s">
        <v>1128</v>
      </c>
      <c r="G689" s="48" t="s">
        <v>2027</v>
      </c>
      <c r="H689" s="48">
        <v>2400</v>
      </c>
    </row>
    <row r="690" spans="5:8" x14ac:dyDescent="0.1">
      <c r="E690" s="48" t="s">
        <v>2028</v>
      </c>
      <c r="F690" s="48" t="s">
        <v>1128</v>
      </c>
      <c r="G690" s="48" t="s">
        <v>2029</v>
      </c>
      <c r="H690" s="48">
        <v>2400</v>
      </c>
    </row>
    <row r="691" spans="5:8" x14ac:dyDescent="0.1">
      <c r="E691" s="48" t="s">
        <v>2030</v>
      </c>
      <c r="F691" s="48" t="s">
        <v>1128</v>
      </c>
      <c r="G691" s="48" t="s">
        <v>2031</v>
      </c>
      <c r="H691" s="48">
        <v>2400</v>
      </c>
    </row>
    <row r="692" spans="5:8" x14ac:dyDescent="0.1">
      <c r="E692" s="48" t="s">
        <v>2032</v>
      </c>
      <c r="F692" s="48" t="s">
        <v>1037</v>
      </c>
      <c r="G692" s="48" t="s">
        <v>2033</v>
      </c>
      <c r="H692" s="48">
        <v>2400</v>
      </c>
    </row>
    <row r="693" spans="5:8" x14ac:dyDescent="0.1">
      <c r="E693" s="48" t="s">
        <v>2034</v>
      </c>
      <c r="F693" s="48" t="s">
        <v>1037</v>
      </c>
      <c r="G693" s="48" t="s">
        <v>2035</v>
      </c>
      <c r="H693" s="48">
        <v>2400</v>
      </c>
    </row>
    <row r="694" spans="5:8" x14ac:dyDescent="0.1">
      <c r="E694" s="48" t="s">
        <v>2036</v>
      </c>
      <c r="F694" s="48" t="s">
        <v>1037</v>
      </c>
      <c r="G694" s="48" t="s">
        <v>2037</v>
      </c>
      <c r="H694" s="48">
        <v>2400</v>
      </c>
    </row>
    <row r="695" spans="5:8" x14ac:dyDescent="0.1">
      <c r="E695" s="48" t="s">
        <v>2038</v>
      </c>
      <c r="F695" s="48" t="s">
        <v>1128</v>
      </c>
      <c r="G695" s="48" t="s">
        <v>2039</v>
      </c>
      <c r="H695" s="48">
        <v>2500</v>
      </c>
    </row>
    <row r="696" spans="5:8" x14ac:dyDescent="0.1">
      <c r="E696" s="48" t="s">
        <v>2040</v>
      </c>
      <c r="F696" s="48" t="s">
        <v>1128</v>
      </c>
      <c r="G696" s="48" t="s">
        <v>2041</v>
      </c>
      <c r="H696" s="48">
        <v>2500</v>
      </c>
    </row>
    <row r="697" spans="5:8" x14ac:dyDescent="0.1">
      <c r="E697" s="48" t="s">
        <v>2042</v>
      </c>
      <c r="F697" s="48" t="s">
        <v>1128</v>
      </c>
      <c r="G697" s="48" t="s">
        <v>2043</v>
      </c>
      <c r="H697" s="48">
        <v>2500</v>
      </c>
    </row>
    <row r="698" spans="5:8" x14ac:dyDescent="0.1">
      <c r="E698" s="48" t="s">
        <v>2044</v>
      </c>
      <c r="F698" s="48" t="s">
        <v>1128</v>
      </c>
      <c r="G698" s="48" t="s">
        <v>2045</v>
      </c>
      <c r="H698" s="48">
        <v>2500</v>
      </c>
    </row>
    <row r="699" spans="5:8" x14ac:dyDescent="0.1">
      <c r="E699" s="48" t="s">
        <v>2046</v>
      </c>
      <c r="F699" s="48" t="s">
        <v>1128</v>
      </c>
      <c r="G699" s="48" t="s">
        <v>2047</v>
      </c>
      <c r="H699" s="48">
        <v>2500</v>
      </c>
    </row>
    <row r="700" spans="5:8" x14ac:dyDescent="0.1">
      <c r="E700" s="48" t="s">
        <v>2048</v>
      </c>
      <c r="F700" s="48" t="s">
        <v>1128</v>
      </c>
      <c r="G700" s="48" t="s">
        <v>2049</v>
      </c>
      <c r="H700" s="48">
        <v>2500</v>
      </c>
    </row>
    <row r="701" spans="5:8" x14ac:dyDescent="0.1">
      <c r="E701" s="48" t="s">
        <v>2050</v>
      </c>
      <c r="F701" s="48" t="s">
        <v>1128</v>
      </c>
      <c r="G701" s="48" t="s">
        <v>2051</v>
      </c>
      <c r="H701" s="48">
        <v>2500</v>
      </c>
    </row>
    <row r="702" spans="5:8" x14ac:dyDescent="0.1">
      <c r="E702" s="48" t="s">
        <v>2052</v>
      </c>
      <c r="F702" s="48" t="s">
        <v>1128</v>
      </c>
      <c r="G702" s="48" t="s">
        <v>2053</v>
      </c>
      <c r="H702" s="48">
        <v>2500</v>
      </c>
    </row>
    <row r="703" spans="5:8" x14ac:dyDescent="0.1">
      <c r="E703" s="48" t="s">
        <v>2054</v>
      </c>
      <c r="F703" s="48" t="s">
        <v>1128</v>
      </c>
      <c r="G703" s="48" t="s">
        <v>2055</v>
      </c>
      <c r="H703" s="48">
        <v>2500</v>
      </c>
    </row>
    <row r="704" spans="5:8" x14ac:dyDescent="0.1">
      <c r="E704" s="48" t="s">
        <v>2056</v>
      </c>
      <c r="F704" s="48" t="s">
        <v>1037</v>
      </c>
      <c r="G704" s="48" t="s">
        <v>2057</v>
      </c>
      <c r="H704" s="48">
        <v>2500</v>
      </c>
    </row>
    <row r="705" spans="5:8" x14ac:dyDescent="0.1">
      <c r="E705" s="48" t="s">
        <v>2058</v>
      </c>
      <c r="F705" s="48" t="s">
        <v>1128</v>
      </c>
      <c r="G705" s="48" t="s">
        <v>2059</v>
      </c>
      <c r="H705" s="48">
        <v>2600</v>
      </c>
    </row>
    <row r="706" spans="5:8" x14ac:dyDescent="0.1">
      <c r="E706" s="48" t="s">
        <v>2060</v>
      </c>
      <c r="F706" s="48" t="s">
        <v>1128</v>
      </c>
      <c r="G706" s="48" t="s">
        <v>2061</v>
      </c>
      <c r="H706" s="48">
        <v>2600</v>
      </c>
    </row>
    <row r="707" spans="5:8" x14ac:dyDescent="0.1">
      <c r="E707" s="48" t="s">
        <v>2062</v>
      </c>
      <c r="F707" s="48" t="s">
        <v>1128</v>
      </c>
      <c r="G707" s="48" t="s">
        <v>2063</v>
      </c>
      <c r="H707" s="48">
        <v>2600</v>
      </c>
    </row>
    <row r="708" spans="5:8" x14ac:dyDescent="0.1">
      <c r="E708" s="48" t="s">
        <v>2064</v>
      </c>
      <c r="F708" s="48" t="s">
        <v>1128</v>
      </c>
      <c r="G708" s="48" t="s">
        <v>2065</v>
      </c>
      <c r="H708" s="48">
        <v>2700</v>
      </c>
    </row>
    <row r="709" spans="5:8" x14ac:dyDescent="0.1">
      <c r="E709" s="48" t="s">
        <v>2066</v>
      </c>
      <c r="F709" s="48" t="s">
        <v>1037</v>
      </c>
      <c r="G709" s="48" t="s">
        <v>2067</v>
      </c>
      <c r="H709" s="48">
        <v>2700</v>
      </c>
    </row>
    <row r="710" spans="5:8" x14ac:dyDescent="0.1">
      <c r="E710" s="48" t="s">
        <v>2068</v>
      </c>
      <c r="F710" s="48" t="s">
        <v>1128</v>
      </c>
      <c r="G710" s="48" t="s">
        <v>2069</v>
      </c>
      <c r="H710" s="48">
        <v>2700</v>
      </c>
    </row>
    <row r="711" spans="5:8" x14ac:dyDescent="0.1">
      <c r="E711" s="48" t="s">
        <v>2070</v>
      </c>
      <c r="F711" s="48" t="s">
        <v>1128</v>
      </c>
      <c r="G711" s="48" t="s">
        <v>2071</v>
      </c>
      <c r="H711" s="48">
        <v>2800</v>
      </c>
    </row>
    <row r="712" spans="5:8" x14ac:dyDescent="0.1">
      <c r="E712" s="48" t="s">
        <v>2072</v>
      </c>
      <c r="F712" s="48" t="s">
        <v>1037</v>
      </c>
      <c r="G712" s="48" t="s">
        <v>2073</v>
      </c>
      <c r="H712" s="48">
        <v>2800</v>
      </c>
    </row>
    <row r="713" spans="5:8" x14ac:dyDescent="0.1">
      <c r="E713" s="48" t="s">
        <v>2074</v>
      </c>
      <c r="F713" s="48" t="s">
        <v>1128</v>
      </c>
      <c r="G713" s="48" t="s">
        <v>2075</v>
      </c>
      <c r="H713" s="48">
        <v>2900</v>
      </c>
    </row>
    <row r="714" spans="5:8" x14ac:dyDescent="0.1">
      <c r="E714" s="48" t="s">
        <v>2076</v>
      </c>
      <c r="F714" s="48" t="s">
        <v>1037</v>
      </c>
      <c r="G714" s="48" t="s">
        <v>2077</v>
      </c>
      <c r="H714" s="48">
        <v>2900</v>
      </c>
    </row>
    <row r="715" spans="5:8" x14ac:dyDescent="0.1">
      <c r="E715" s="48" t="s">
        <v>2078</v>
      </c>
      <c r="F715" s="48" t="s">
        <v>1128</v>
      </c>
      <c r="G715" s="48" t="s">
        <v>2079</v>
      </c>
      <c r="H715" s="48">
        <v>3000</v>
      </c>
    </row>
    <row r="716" spans="5:8" x14ac:dyDescent="0.1">
      <c r="E716" s="48" t="s">
        <v>2080</v>
      </c>
      <c r="F716" s="48" t="s">
        <v>1128</v>
      </c>
      <c r="G716" s="48" t="s">
        <v>2081</v>
      </c>
      <c r="H716" s="48">
        <v>3000</v>
      </c>
    </row>
    <row r="717" spans="5:8" x14ac:dyDescent="0.1">
      <c r="E717" s="48" t="s">
        <v>2082</v>
      </c>
      <c r="F717" s="48" t="s">
        <v>1128</v>
      </c>
      <c r="G717" s="48" t="s">
        <v>1673</v>
      </c>
      <c r="H717" s="48">
        <v>3000</v>
      </c>
    </row>
    <row r="718" spans="5:8" x14ac:dyDescent="0.1">
      <c r="E718" s="48" t="s">
        <v>2083</v>
      </c>
      <c r="F718" s="48" t="s">
        <v>1128</v>
      </c>
      <c r="G718" s="48" t="s">
        <v>2084</v>
      </c>
      <c r="H718" s="48">
        <v>3000</v>
      </c>
    </row>
    <row r="719" spans="5:8" x14ac:dyDescent="0.1">
      <c r="E719" s="48" t="s">
        <v>2085</v>
      </c>
      <c r="F719" s="48" t="s">
        <v>1128</v>
      </c>
      <c r="G719" s="48" t="s">
        <v>2086</v>
      </c>
      <c r="H719" s="48">
        <v>3000</v>
      </c>
    </row>
    <row r="720" spans="5:8" x14ac:dyDescent="0.1">
      <c r="E720" s="48" t="s">
        <v>2087</v>
      </c>
      <c r="F720" s="48" t="s">
        <v>1037</v>
      </c>
      <c r="G720" s="48" t="s">
        <v>2088</v>
      </c>
      <c r="H720" s="48">
        <v>3000</v>
      </c>
    </row>
    <row r="721" spans="5:8" x14ac:dyDescent="0.1">
      <c r="E721" s="48" t="s">
        <v>2089</v>
      </c>
      <c r="F721" s="48" t="s">
        <v>1037</v>
      </c>
      <c r="G721" s="48" t="s">
        <v>2090</v>
      </c>
      <c r="H721" s="48">
        <v>3000</v>
      </c>
    </row>
    <row r="722" spans="5:8" x14ac:dyDescent="0.1">
      <c r="E722" s="48" t="s">
        <v>2091</v>
      </c>
      <c r="F722" s="48" t="s">
        <v>1037</v>
      </c>
      <c r="G722" s="48" t="s">
        <v>2092</v>
      </c>
      <c r="H722" s="48">
        <v>3000</v>
      </c>
    </row>
    <row r="723" spans="5:8" x14ac:dyDescent="0.1">
      <c r="E723" s="48" t="s">
        <v>2093</v>
      </c>
      <c r="F723" s="48" t="s">
        <v>1037</v>
      </c>
      <c r="G723" s="48" t="s">
        <v>2094</v>
      </c>
      <c r="H723" s="48">
        <v>3000</v>
      </c>
    </row>
    <row r="724" spans="5:8" x14ac:dyDescent="0.1">
      <c r="E724" s="48" t="s">
        <v>2095</v>
      </c>
      <c r="F724" s="48" t="s">
        <v>1128</v>
      </c>
      <c r="G724" s="48" t="s">
        <v>2096</v>
      </c>
      <c r="H724" s="48">
        <v>3000</v>
      </c>
    </row>
    <row r="725" spans="5:8" x14ac:dyDescent="0.1">
      <c r="E725" s="48" t="s">
        <v>2097</v>
      </c>
      <c r="F725" s="48" t="s">
        <v>1128</v>
      </c>
      <c r="G725" s="48" t="s">
        <v>2098</v>
      </c>
      <c r="H725" s="48">
        <v>3000</v>
      </c>
    </row>
    <row r="726" spans="5:8" x14ac:dyDescent="0.1">
      <c r="E726" s="48" t="s">
        <v>2099</v>
      </c>
      <c r="F726" s="48" t="s">
        <v>1037</v>
      </c>
      <c r="G726" s="48" t="s">
        <v>2100</v>
      </c>
      <c r="H726" s="48">
        <v>3000</v>
      </c>
    </row>
    <row r="727" spans="5:8" x14ac:dyDescent="0.1">
      <c r="E727" s="48" t="s">
        <v>2101</v>
      </c>
      <c r="F727" s="48" t="s">
        <v>1128</v>
      </c>
      <c r="G727" s="48" t="s">
        <v>2102</v>
      </c>
      <c r="H727" s="48">
        <v>3000</v>
      </c>
    </row>
    <row r="728" spans="5:8" x14ac:dyDescent="0.1">
      <c r="E728" s="48" t="s">
        <v>2103</v>
      </c>
      <c r="F728" s="48" t="s">
        <v>1128</v>
      </c>
      <c r="G728" s="48" t="s">
        <v>2104</v>
      </c>
      <c r="H728" s="48">
        <v>3000</v>
      </c>
    </row>
    <row r="729" spans="5:8" x14ac:dyDescent="0.1">
      <c r="E729" s="48" t="s">
        <v>2105</v>
      </c>
      <c r="F729" s="48" t="s">
        <v>1128</v>
      </c>
      <c r="G729" s="48" t="s">
        <v>2106</v>
      </c>
      <c r="H729" s="48">
        <v>3000</v>
      </c>
    </row>
    <row r="730" spans="5:8" x14ac:dyDescent="0.1">
      <c r="E730" s="48" t="s">
        <v>2107</v>
      </c>
      <c r="F730" s="48" t="s">
        <v>1128</v>
      </c>
      <c r="G730" s="48" t="s">
        <v>2108</v>
      </c>
      <c r="H730" s="48">
        <v>3000</v>
      </c>
    </row>
    <row r="731" spans="5:8" x14ac:dyDescent="0.1">
      <c r="E731" s="48" t="s">
        <v>2109</v>
      </c>
      <c r="F731" s="48" t="s">
        <v>1128</v>
      </c>
      <c r="G731" s="48" t="s">
        <v>2110</v>
      </c>
      <c r="H731" s="48">
        <v>3000</v>
      </c>
    </row>
    <row r="732" spans="5:8" x14ac:dyDescent="0.1">
      <c r="E732" s="48" t="s">
        <v>2111</v>
      </c>
      <c r="F732" s="48" t="s">
        <v>1128</v>
      </c>
      <c r="G732" s="48" t="s">
        <v>2112</v>
      </c>
      <c r="H732" s="48">
        <v>3000</v>
      </c>
    </row>
    <row r="733" spans="5:8" x14ac:dyDescent="0.1">
      <c r="E733" s="48" t="s">
        <v>2113</v>
      </c>
      <c r="F733" s="48" t="s">
        <v>1128</v>
      </c>
      <c r="G733" s="48" t="s">
        <v>2114</v>
      </c>
      <c r="H733" s="48">
        <v>3000</v>
      </c>
    </row>
    <row r="734" spans="5:8" x14ac:dyDescent="0.1">
      <c r="E734" s="48" t="s">
        <v>2115</v>
      </c>
      <c r="F734" s="48" t="s">
        <v>1128</v>
      </c>
      <c r="G734" s="48" t="s">
        <v>2116</v>
      </c>
      <c r="H734" s="48">
        <v>3000</v>
      </c>
    </row>
    <row r="735" spans="5:8" x14ac:dyDescent="0.1">
      <c r="E735" s="48" t="s">
        <v>2117</v>
      </c>
      <c r="F735" s="48" t="s">
        <v>1128</v>
      </c>
      <c r="G735" s="48" t="s">
        <v>2118</v>
      </c>
      <c r="H735" s="48">
        <v>3000</v>
      </c>
    </row>
    <row r="736" spans="5:8" x14ac:dyDescent="0.1">
      <c r="E736" s="48" t="s">
        <v>2119</v>
      </c>
      <c r="F736" s="48" t="s">
        <v>1037</v>
      </c>
      <c r="G736" s="48" t="s">
        <v>2120</v>
      </c>
      <c r="H736" s="48">
        <v>3000</v>
      </c>
    </row>
    <row r="737" spans="5:8" x14ac:dyDescent="0.1">
      <c r="E737" s="48" t="s">
        <v>2121</v>
      </c>
      <c r="F737" s="48" t="s">
        <v>1128</v>
      </c>
      <c r="G737" s="48" t="s">
        <v>2122</v>
      </c>
      <c r="H737" s="48">
        <v>3000</v>
      </c>
    </row>
    <row r="738" spans="5:8" x14ac:dyDescent="0.1">
      <c r="E738" s="48" t="s">
        <v>2123</v>
      </c>
      <c r="F738" s="48" t="s">
        <v>1037</v>
      </c>
      <c r="G738" s="48"/>
      <c r="H738" s="48">
        <v>3000</v>
      </c>
    </row>
    <row r="739" spans="5:8" x14ac:dyDescent="0.1">
      <c r="E739" s="48" t="s">
        <v>2124</v>
      </c>
      <c r="F739" s="48" t="s">
        <v>1128</v>
      </c>
      <c r="G739" s="48" t="s">
        <v>2125</v>
      </c>
      <c r="H739" s="48">
        <v>3000</v>
      </c>
    </row>
    <row r="740" spans="5:8" x14ac:dyDescent="0.1">
      <c r="E740" s="48" t="s">
        <v>2126</v>
      </c>
      <c r="F740" s="48" t="s">
        <v>1037</v>
      </c>
      <c r="G740" s="48" t="s">
        <v>1430</v>
      </c>
      <c r="H740" s="48">
        <v>3200</v>
      </c>
    </row>
    <row r="741" spans="5:8" x14ac:dyDescent="0.1">
      <c r="E741" s="48" t="s">
        <v>2127</v>
      </c>
      <c r="F741" s="48" t="s">
        <v>1128</v>
      </c>
      <c r="G741" s="48" t="s">
        <v>2128</v>
      </c>
      <c r="H741" s="48">
        <v>3200</v>
      </c>
    </row>
    <row r="742" spans="5:8" x14ac:dyDescent="0.1">
      <c r="E742" s="48" t="s">
        <v>2129</v>
      </c>
      <c r="F742" s="48" t="s">
        <v>1037</v>
      </c>
      <c r="G742" s="48" t="s">
        <v>2130</v>
      </c>
      <c r="H742" s="48">
        <v>3200</v>
      </c>
    </row>
    <row r="743" spans="5:8" x14ac:dyDescent="0.1">
      <c r="E743" s="48" t="s">
        <v>2131</v>
      </c>
      <c r="F743" s="48" t="s">
        <v>1037</v>
      </c>
      <c r="G743" s="48" t="s">
        <v>1858</v>
      </c>
      <c r="H743" s="48">
        <v>3300</v>
      </c>
    </row>
    <row r="744" spans="5:8" x14ac:dyDescent="0.1">
      <c r="E744" s="48" t="s">
        <v>2132</v>
      </c>
      <c r="F744" s="48" t="s">
        <v>1128</v>
      </c>
      <c r="G744" s="48" t="s">
        <v>2133</v>
      </c>
      <c r="H744" s="48">
        <v>3300</v>
      </c>
    </row>
    <row r="745" spans="5:8" x14ac:dyDescent="0.1">
      <c r="E745" s="48" t="s">
        <v>2134</v>
      </c>
      <c r="F745" s="48" t="s">
        <v>1037</v>
      </c>
      <c r="G745" s="48" t="s">
        <v>2135</v>
      </c>
      <c r="H745" s="48">
        <v>3300</v>
      </c>
    </row>
    <row r="746" spans="5:8" x14ac:dyDescent="0.1">
      <c r="E746" s="48" t="s">
        <v>2136</v>
      </c>
      <c r="F746" s="48" t="s">
        <v>1128</v>
      </c>
      <c r="G746" s="48" t="s">
        <v>2137</v>
      </c>
      <c r="H746" s="48">
        <v>3400</v>
      </c>
    </row>
    <row r="747" spans="5:8" x14ac:dyDescent="0.1">
      <c r="E747" s="48" t="s">
        <v>2138</v>
      </c>
      <c r="F747" s="48" t="s">
        <v>1128</v>
      </c>
      <c r="G747" s="48" t="s">
        <v>2139</v>
      </c>
      <c r="H747" s="48">
        <v>3400</v>
      </c>
    </row>
    <row r="748" spans="5:8" x14ac:dyDescent="0.1">
      <c r="E748" s="48" t="s">
        <v>2140</v>
      </c>
      <c r="F748" s="48" t="s">
        <v>1128</v>
      </c>
      <c r="G748" s="48" t="s">
        <v>2141</v>
      </c>
      <c r="H748" s="48">
        <v>3500</v>
      </c>
    </row>
    <row r="749" spans="5:8" x14ac:dyDescent="0.1">
      <c r="E749" s="48" t="s">
        <v>2142</v>
      </c>
      <c r="F749" s="48" t="s">
        <v>1037</v>
      </c>
      <c r="G749" s="48" t="s">
        <v>2143</v>
      </c>
      <c r="H749" s="48">
        <v>3500</v>
      </c>
    </row>
    <row r="750" spans="5:8" x14ac:dyDescent="0.1">
      <c r="E750" s="48" t="s">
        <v>2144</v>
      </c>
      <c r="F750" s="48" t="s">
        <v>1037</v>
      </c>
      <c r="G750" s="48" t="s">
        <v>2145</v>
      </c>
      <c r="H750" s="48">
        <v>3500</v>
      </c>
    </row>
    <row r="751" spans="5:8" x14ac:dyDescent="0.1">
      <c r="E751" s="48" t="s">
        <v>2146</v>
      </c>
      <c r="F751" s="48" t="s">
        <v>1037</v>
      </c>
      <c r="G751" s="48" t="s">
        <v>2147</v>
      </c>
      <c r="H751" s="48">
        <v>3500</v>
      </c>
    </row>
    <row r="752" spans="5:8" x14ac:dyDescent="0.1">
      <c r="E752" s="48" t="s">
        <v>2148</v>
      </c>
      <c r="F752" s="48" t="s">
        <v>1037</v>
      </c>
      <c r="G752" s="48" t="s">
        <v>2149</v>
      </c>
      <c r="H752" s="48">
        <v>3500</v>
      </c>
    </row>
    <row r="753" spans="5:8" x14ac:dyDescent="0.1">
      <c r="E753" s="48" t="s">
        <v>2150</v>
      </c>
      <c r="F753" s="48" t="s">
        <v>1128</v>
      </c>
      <c r="G753" s="48" t="s">
        <v>2151</v>
      </c>
      <c r="H753" s="48">
        <v>3500</v>
      </c>
    </row>
    <row r="754" spans="5:8" x14ac:dyDescent="0.1">
      <c r="E754" s="48" t="s">
        <v>2152</v>
      </c>
      <c r="F754" s="48" t="s">
        <v>1037</v>
      </c>
      <c r="G754" s="48" t="s">
        <v>2153</v>
      </c>
      <c r="H754" s="48">
        <v>3500</v>
      </c>
    </row>
    <row r="755" spans="5:8" x14ac:dyDescent="0.1">
      <c r="E755" s="48" t="s">
        <v>2154</v>
      </c>
      <c r="F755" s="48" t="s">
        <v>1037</v>
      </c>
      <c r="G755" s="48" t="s">
        <v>2155</v>
      </c>
      <c r="H755" s="48">
        <v>3500</v>
      </c>
    </row>
    <row r="756" spans="5:8" x14ac:dyDescent="0.1">
      <c r="E756" s="48" t="s">
        <v>2156</v>
      </c>
      <c r="F756" s="48" t="s">
        <v>1128</v>
      </c>
      <c r="G756" s="48" t="s">
        <v>2157</v>
      </c>
      <c r="H756" s="48">
        <v>3600</v>
      </c>
    </row>
    <row r="757" spans="5:8" x14ac:dyDescent="0.1">
      <c r="E757" s="48" t="s">
        <v>2158</v>
      </c>
      <c r="F757" s="48" t="s">
        <v>1037</v>
      </c>
      <c r="G757" s="48" t="s">
        <v>1048</v>
      </c>
      <c r="H757" s="48">
        <v>3600</v>
      </c>
    </row>
    <row r="758" spans="5:8" x14ac:dyDescent="0.1">
      <c r="E758" s="48" t="s">
        <v>2159</v>
      </c>
      <c r="F758" s="48" t="s">
        <v>1128</v>
      </c>
      <c r="G758" s="48" t="s">
        <v>1833</v>
      </c>
      <c r="H758" s="48">
        <v>3600</v>
      </c>
    </row>
    <row r="759" spans="5:8" x14ac:dyDescent="0.1">
      <c r="E759" s="48" t="s">
        <v>2160</v>
      </c>
      <c r="F759" s="48" t="s">
        <v>1128</v>
      </c>
      <c r="G759" s="48" t="s">
        <v>2161</v>
      </c>
      <c r="H759" s="48">
        <v>3600</v>
      </c>
    </row>
    <row r="760" spans="5:8" x14ac:dyDescent="0.1">
      <c r="E760" s="48" t="s">
        <v>2162</v>
      </c>
      <c r="F760" s="48" t="s">
        <v>1037</v>
      </c>
      <c r="G760" s="48" t="s">
        <v>2163</v>
      </c>
      <c r="H760" s="48">
        <v>3600</v>
      </c>
    </row>
    <row r="761" spans="5:8" x14ac:dyDescent="0.1">
      <c r="E761" s="48" t="s">
        <v>2164</v>
      </c>
      <c r="F761" s="48" t="s">
        <v>1128</v>
      </c>
      <c r="G761" s="48" t="s">
        <v>2165</v>
      </c>
      <c r="H761" s="48">
        <v>3700</v>
      </c>
    </row>
    <row r="762" spans="5:8" x14ac:dyDescent="0.1">
      <c r="E762" s="48" t="s">
        <v>2166</v>
      </c>
      <c r="F762" s="48" t="s">
        <v>1128</v>
      </c>
      <c r="G762" s="48" t="s">
        <v>2167</v>
      </c>
      <c r="H762" s="48">
        <v>3700</v>
      </c>
    </row>
    <row r="763" spans="5:8" x14ac:dyDescent="0.1">
      <c r="E763" s="48" t="s">
        <v>2168</v>
      </c>
      <c r="F763" s="48" t="s">
        <v>1037</v>
      </c>
      <c r="G763" s="48" t="s">
        <v>1773</v>
      </c>
      <c r="H763" s="48">
        <v>3750</v>
      </c>
    </row>
    <row r="764" spans="5:8" x14ac:dyDescent="0.1">
      <c r="E764" s="48" t="s">
        <v>2169</v>
      </c>
      <c r="F764" s="48" t="s">
        <v>1128</v>
      </c>
      <c r="G764" s="48" t="s">
        <v>2170</v>
      </c>
      <c r="H764" s="48">
        <v>3900</v>
      </c>
    </row>
    <row r="765" spans="5:8" x14ac:dyDescent="0.1">
      <c r="E765" s="48" t="s">
        <v>2171</v>
      </c>
      <c r="F765" s="48" t="s">
        <v>1128</v>
      </c>
      <c r="G765" s="48" t="s">
        <v>2172</v>
      </c>
      <c r="H765" s="48">
        <v>4000</v>
      </c>
    </row>
    <row r="766" spans="5:8" x14ac:dyDescent="0.1">
      <c r="E766" s="48" t="s">
        <v>2173</v>
      </c>
      <c r="F766" s="48" t="s">
        <v>1128</v>
      </c>
      <c r="G766" s="48" t="s">
        <v>2172</v>
      </c>
      <c r="H766" s="48">
        <v>4000</v>
      </c>
    </row>
    <row r="767" spans="5:8" x14ac:dyDescent="0.1">
      <c r="E767" s="48" t="s">
        <v>2174</v>
      </c>
      <c r="F767" s="48" t="s">
        <v>1128</v>
      </c>
      <c r="G767" s="48" t="s">
        <v>2172</v>
      </c>
      <c r="H767" s="48">
        <v>4000</v>
      </c>
    </row>
    <row r="768" spans="5:8" x14ac:dyDescent="0.1">
      <c r="E768" s="48" t="s">
        <v>2175</v>
      </c>
      <c r="F768" s="48" t="s">
        <v>1128</v>
      </c>
      <c r="G768" s="48" t="s">
        <v>2172</v>
      </c>
      <c r="H768" s="48">
        <v>4000</v>
      </c>
    </row>
    <row r="769" spans="5:8" x14ac:dyDescent="0.1">
      <c r="E769" s="48" t="s">
        <v>2176</v>
      </c>
      <c r="F769" s="48" t="s">
        <v>1128</v>
      </c>
      <c r="G769" s="48" t="s">
        <v>2177</v>
      </c>
      <c r="H769" s="48">
        <v>4000</v>
      </c>
    </row>
    <row r="770" spans="5:8" x14ac:dyDescent="0.1">
      <c r="E770" s="48" t="s">
        <v>2178</v>
      </c>
      <c r="F770" s="48" t="s">
        <v>1128</v>
      </c>
      <c r="G770" s="48" t="s">
        <v>2179</v>
      </c>
      <c r="H770" s="48">
        <v>4000</v>
      </c>
    </row>
    <row r="771" spans="5:8" x14ac:dyDescent="0.1">
      <c r="E771" s="48" t="s">
        <v>2180</v>
      </c>
      <c r="F771" s="48" t="s">
        <v>1037</v>
      </c>
      <c r="G771" s="48" t="s">
        <v>1717</v>
      </c>
      <c r="H771" s="48">
        <v>4000</v>
      </c>
    </row>
    <row r="772" spans="5:8" x14ac:dyDescent="0.1">
      <c r="E772" s="48" t="s">
        <v>2181</v>
      </c>
      <c r="F772" s="48" t="s">
        <v>1128</v>
      </c>
      <c r="G772" s="48" t="s">
        <v>2182</v>
      </c>
      <c r="H772" s="48">
        <v>4000</v>
      </c>
    </row>
    <row r="773" spans="5:8" x14ac:dyDescent="0.1">
      <c r="E773" s="48" t="s">
        <v>2183</v>
      </c>
      <c r="F773" s="48" t="s">
        <v>1037</v>
      </c>
      <c r="G773" s="48" t="s">
        <v>1430</v>
      </c>
      <c r="H773" s="48">
        <v>4000</v>
      </c>
    </row>
    <row r="774" spans="5:8" x14ac:dyDescent="0.1">
      <c r="E774" s="48" t="s">
        <v>2184</v>
      </c>
      <c r="F774" s="48" t="s">
        <v>1128</v>
      </c>
      <c r="G774" s="48" t="s">
        <v>2185</v>
      </c>
      <c r="H774" s="48">
        <v>4000</v>
      </c>
    </row>
    <row r="775" spans="5:8" x14ac:dyDescent="0.1">
      <c r="E775" s="48" t="s">
        <v>2186</v>
      </c>
      <c r="F775" s="48" t="s">
        <v>1037</v>
      </c>
      <c r="G775" s="48" t="s">
        <v>1720</v>
      </c>
      <c r="H775" s="48">
        <v>4000</v>
      </c>
    </row>
    <row r="776" spans="5:8" x14ac:dyDescent="0.1">
      <c r="E776" s="48" t="s">
        <v>2187</v>
      </c>
      <c r="F776" s="48" t="s">
        <v>1037</v>
      </c>
      <c r="G776" s="48" t="s">
        <v>1722</v>
      </c>
      <c r="H776" s="48">
        <v>4000</v>
      </c>
    </row>
    <row r="777" spans="5:8" x14ac:dyDescent="0.1">
      <c r="E777" s="48" t="s">
        <v>2188</v>
      </c>
      <c r="F777" s="48" t="s">
        <v>1037</v>
      </c>
      <c r="G777" s="48" t="s">
        <v>1724</v>
      </c>
      <c r="H777" s="48">
        <v>4000</v>
      </c>
    </row>
    <row r="778" spans="5:8" x14ac:dyDescent="0.1">
      <c r="E778" s="48" t="s">
        <v>2189</v>
      </c>
      <c r="F778" s="48" t="s">
        <v>1128</v>
      </c>
      <c r="G778" s="48" t="s">
        <v>2084</v>
      </c>
      <c r="H778" s="48">
        <v>4000</v>
      </c>
    </row>
    <row r="779" spans="5:8" x14ac:dyDescent="0.1">
      <c r="E779" s="48" t="s">
        <v>2190</v>
      </c>
      <c r="F779" s="48" t="s">
        <v>1128</v>
      </c>
      <c r="G779" s="48" t="s">
        <v>2191</v>
      </c>
      <c r="H779" s="48">
        <v>4000</v>
      </c>
    </row>
    <row r="780" spans="5:8" x14ac:dyDescent="0.1">
      <c r="E780" s="48" t="s">
        <v>2192</v>
      </c>
      <c r="F780" s="48" t="s">
        <v>1128</v>
      </c>
      <c r="G780" s="48" t="s">
        <v>2193</v>
      </c>
      <c r="H780" s="48">
        <v>4000</v>
      </c>
    </row>
    <row r="781" spans="5:8" x14ac:dyDescent="0.1">
      <c r="E781" s="48" t="s">
        <v>2194</v>
      </c>
      <c r="F781" s="48" t="s">
        <v>1128</v>
      </c>
      <c r="G781" s="48" t="s">
        <v>2195</v>
      </c>
      <c r="H781" s="48">
        <v>4000</v>
      </c>
    </row>
    <row r="782" spans="5:8" x14ac:dyDescent="0.1">
      <c r="E782" s="48" t="s">
        <v>2196</v>
      </c>
      <c r="F782" s="48" t="s">
        <v>1037</v>
      </c>
      <c r="G782" s="48" t="s">
        <v>2197</v>
      </c>
      <c r="H782" s="48">
        <v>4000</v>
      </c>
    </row>
    <row r="783" spans="5:8" x14ac:dyDescent="0.1">
      <c r="E783" s="48" t="s">
        <v>2198</v>
      </c>
      <c r="F783" s="48" t="s">
        <v>1128</v>
      </c>
      <c r="G783" s="48" t="s">
        <v>2199</v>
      </c>
      <c r="H783" s="48">
        <v>4000</v>
      </c>
    </row>
    <row r="784" spans="5:8" x14ac:dyDescent="0.1">
      <c r="E784" s="48" t="s">
        <v>2200</v>
      </c>
      <c r="F784" s="48" t="s">
        <v>1037</v>
      </c>
      <c r="G784" s="48" t="s">
        <v>2201</v>
      </c>
      <c r="H784" s="48">
        <v>4000</v>
      </c>
    </row>
    <row r="785" spans="5:8" x14ac:dyDescent="0.1">
      <c r="E785" s="48" t="s">
        <v>2202</v>
      </c>
      <c r="F785" s="48" t="s">
        <v>1037</v>
      </c>
      <c r="G785" s="48" t="s">
        <v>2203</v>
      </c>
      <c r="H785" s="48">
        <v>4000</v>
      </c>
    </row>
    <row r="786" spans="5:8" x14ac:dyDescent="0.1">
      <c r="E786" s="48" t="s">
        <v>2204</v>
      </c>
      <c r="F786" s="48" t="s">
        <v>1037</v>
      </c>
      <c r="G786" s="48" t="s">
        <v>2205</v>
      </c>
      <c r="H786" s="48">
        <v>4000</v>
      </c>
    </row>
    <row r="787" spans="5:8" x14ac:dyDescent="0.1">
      <c r="E787" s="48" t="s">
        <v>2206</v>
      </c>
      <c r="F787" s="48" t="s">
        <v>1128</v>
      </c>
      <c r="G787" s="48" t="s">
        <v>2207</v>
      </c>
      <c r="H787" s="48">
        <v>4200</v>
      </c>
    </row>
    <row r="788" spans="5:8" x14ac:dyDescent="0.1">
      <c r="E788" s="48" t="s">
        <v>2208</v>
      </c>
      <c r="F788" s="48" t="s">
        <v>1128</v>
      </c>
      <c r="G788" s="48" t="s">
        <v>2209</v>
      </c>
      <c r="H788" s="48">
        <v>4300</v>
      </c>
    </row>
    <row r="789" spans="5:8" x14ac:dyDescent="0.1">
      <c r="E789" s="48" t="s">
        <v>2210</v>
      </c>
      <c r="F789" s="48" t="s">
        <v>1128</v>
      </c>
      <c r="G789" s="48" t="s">
        <v>2211</v>
      </c>
      <c r="H789" s="48">
        <v>4300</v>
      </c>
    </row>
    <row r="790" spans="5:8" x14ac:dyDescent="0.1">
      <c r="E790" s="48" t="s">
        <v>2212</v>
      </c>
      <c r="F790" s="48" t="s">
        <v>1128</v>
      </c>
      <c r="G790" s="48" t="s">
        <v>2213</v>
      </c>
      <c r="H790" s="48">
        <v>4400</v>
      </c>
    </row>
    <row r="791" spans="5:8" x14ac:dyDescent="0.1">
      <c r="E791" s="48" t="s">
        <v>2214</v>
      </c>
      <c r="F791" s="48" t="s">
        <v>1128</v>
      </c>
      <c r="G791" s="48" t="s">
        <v>2215</v>
      </c>
      <c r="H791" s="48">
        <v>4500</v>
      </c>
    </row>
    <row r="792" spans="5:8" x14ac:dyDescent="0.1">
      <c r="E792" s="48" t="s">
        <v>2216</v>
      </c>
      <c r="F792" s="48" t="s">
        <v>1128</v>
      </c>
      <c r="G792" s="48" t="s">
        <v>2217</v>
      </c>
      <c r="H792" s="48">
        <v>4500</v>
      </c>
    </row>
    <row r="793" spans="5:8" x14ac:dyDescent="0.1">
      <c r="E793" s="48" t="s">
        <v>2218</v>
      </c>
      <c r="F793" s="48" t="s">
        <v>1128</v>
      </c>
      <c r="G793" s="48" t="s">
        <v>2219</v>
      </c>
      <c r="H793" s="48">
        <v>4500</v>
      </c>
    </row>
    <row r="794" spans="5:8" x14ac:dyDescent="0.1">
      <c r="E794" s="48" t="s">
        <v>2220</v>
      </c>
      <c r="F794" s="48" t="s">
        <v>1128</v>
      </c>
      <c r="G794" s="48" t="s">
        <v>2221</v>
      </c>
      <c r="H794" s="48">
        <v>4500</v>
      </c>
    </row>
    <row r="795" spans="5:8" x14ac:dyDescent="0.1">
      <c r="E795" s="48" t="s">
        <v>2222</v>
      </c>
      <c r="F795" s="48" t="s">
        <v>1128</v>
      </c>
      <c r="G795" s="48" t="s">
        <v>2223</v>
      </c>
      <c r="H795" s="48">
        <v>4500</v>
      </c>
    </row>
    <row r="796" spans="5:8" x14ac:dyDescent="0.1">
      <c r="E796" s="48" t="s">
        <v>2224</v>
      </c>
      <c r="F796" s="48" t="s">
        <v>1128</v>
      </c>
      <c r="G796" s="48" t="s">
        <v>2225</v>
      </c>
      <c r="H796" s="48">
        <v>4500</v>
      </c>
    </row>
    <row r="797" spans="5:8" x14ac:dyDescent="0.1">
      <c r="E797" s="48" t="s">
        <v>2226</v>
      </c>
      <c r="F797" s="48" t="s">
        <v>1128</v>
      </c>
      <c r="G797" s="48" t="s">
        <v>2227</v>
      </c>
      <c r="H797" s="48">
        <v>4500</v>
      </c>
    </row>
    <row r="798" spans="5:8" x14ac:dyDescent="0.1">
      <c r="E798" s="48" t="s">
        <v>2228</v>
      </c>
      <c r="F798" s="48" t="s">
        <v>1128</v>
      </c>
      <c r="G798" s="48" t="s">
        <v>1959</v>
      </c>
      <c r="H798" s="48">
        <v>4600</v>
      </c>
    </row>
    <row r="799" spans="5:8" x14ac:dyDescent="0.1">
      <c r="E799" s="48" t="s">
        <v>2229</v>
      </c>
      <c r="F799" s="48" t="s">
        <v>1128</v>
      </c>
      <c r="G799" s="48" t="s">
        <v>2230</v>
      </c>
      <c r="H799" s="48">
        <v>4600</v>
      </c>
    </row>
    <row r="800" spans="5:8" x14ac:dyDescent="0.1">
      <c r="E800" s="48" t="s">
        <v>2231</v>
      </c>
      <c r="F800" s="48" t="s">
        <v>1128</v>
      </c>
      <c r="G800" s="48" t="s">
        <v>2232</v>
      </c>
      <c r="H800" s="48">
        <v>4700</v>
      </c>
    </row>
    <row r="801" spans="5:8" x14ac:dyDescent="0.1">
      <c r="E801" s="48" t="s">
        <v>2233</v>
      </c>
      <c r="F801" s="48" t="s">
        <v>1128</v>
      </c>
      <c r="G801" s="48" t="s">
        <v>2234</v>
      </c>
      <c r="H801" s="48">
        <v>4700</v>
      </c>
    </row>
    <row r="802" spans="5:8" x14ac:dyDescent="0.1">
      <c r="E802" s="48" t="s">
        <v>2235</v>
      </c>
      <c r="F802" s="48" t="s">
        <v>1037</v>
      </c>
      <c r="G802" s="48" t="s">
        <v>2236</v>
      </c>
      <c r="H802" s="48">
        <v>4800</v>
      </c>
    </row>
    <row r="803" spans="5:8" x14ac:dyDescent="0.1">
      <c r="E803" s="48" t="s">
        <v>2237</v>
      </c>
      <c r="F803" s="48" t="s">
        <v>1037</v>
      </c>
      <c r="G803" s="48" t="s">
        <v>2238</v>
      </c>
      <c r="H803" s="48">
        <v>4800</v>
      </c>
    </row>
    <row r="804" spans="5:8" x14ac:dyDescent="0.1">
      <c r="E804" s="48" t="s">
        <v>2239</v>
      </c>
      <c r="F804" s="48" t="s">
        <v>1128</v>
      </c>
      <c r="G804" s="48" t="s">
        <v>2240</v>
      </c>
      <c r="H804" s="48">
        <v>4800</v>
      </c>
    </row>
    <row r="805" spans="5:8" x14ac:dyDescent="0.1">
      <c r="E805" s="48" t="s">
        <v>2241</v>
      </c>
      <c r="F805" s="48" t="s">
        <v>1128</v>
      </c>
      <c r="G805" s="48" t="s">
        <v>2242</v>
      </c>
      <c r="H805" s="48">
        <v>4800</v>
      </c>
    </row>
    <row r="806" spans="5:8" x14ac:dyDescent="0.1">
      <c r="E806" s="48" t="s">
        <v>2243</v>
      </c>
      <c r="F806" s="48" t="s">
        <v>1128</v>
      </c>
      <c r="G806" s="48" t="s">
        <v>2244</v>
      </c>
      <c r="H806" s="48">
        <v>4900</v>
      </c>
    </row>
    <row r="807" spans="5:8" x14ac:dyDescent="0.1">
      <c r="E807" s="48" t="s">
        <v>2245</v>
      </c>
      <c r="F807" s="48" t="s">
        <v>1128</v>
      </c>
      <c r="G807" s="48" t="s">
        <v>1959</v>
      </c>
      <c r="H807" s="48">
        <v>5000</v>
      </c>
    </row>
    <row r="808" spans="5:8" x14ac:dyDescent="0.1">
      <c r="E808" s="48" t="s">
        <v>2246</v>
      </c>
      <c r="F808" s="48" t="s">
        <v>1128</v>
      </c>
      <c r="G808" s="48" t="s">
        <v>2247</v>
      </c>
      <c r="H808" s="48">
        <v>5000</v>
      </c>
    </row>
    <row r="809" spans="5:8" x14ac:dyDescent="0.1">
      <c r="E809" s="48" t="s">
        <v>2248</v>
      </c>
      <c r="F809" s="48" t="s">
        <v>1128</v>
      </c>
      <c r="G809" s="48" t="s">
        <v>2084</v>
      </c>
      <c r="H809" s="48">
        <v>5000</v>
      </c>
    </row>
    <row r="810" spans="5:8" x14ac:dyDescent="0.1">
      <c r="E810" s="48" t="s">
        <v>2249</v>
      </c>
      <c r="F810" s="48" t="s">
        <v>1128</v>
      </c>
      <c r="G810" s="48" t="s">
        <v>2084</v>
      </c>
      <c r="H810" s="48">
        <v>5000</v>
      </c>
    </row>
    <row r="811" spans="5:8" x14ac:dyDescent="0.1">
      <c r="E811" s="48" t="s">
        <v>2250</v>
      </c>
      <c r="F811" s="48" t="s">
        <v>1128</v>
      </c>
      <c r="G811" s="48" t="s">
        <v>2251</v>
      </c>
      <c r="H811" s="48">
        <v>5000</v>
      </c>
    </row>
    <row r="812" spans="5:8" x14ac:dyDescent="0.1">
      <c r="E812" s="48" t="s">
        <v>2252</v>
      </c>
      <c r="F812" s="48" t="s">
        <v>1037</v>
      </c>
      <c r="G812" s="48" t="s">
        <v>2253</v>
      </c>
      <c r="H812" s="48">
        <v>5000</v>
      </c>
    </row>
    <row r="813" spans="5:8" x14ac:dyDescent="0.1">
      <c r="E813" s="48" t="s">
        <v>2254</v>
      </c>
      <c r="F813" s="48" t="s">
        <v>1037</v>
      </c>
      <c r="G813" s="48" t="s">
        <v>2255</v>
      </c>
      <c r="H813" s="48">
        <v>5000</v>
      </c>
    </row>
    <row r="814" spans="5:8" x14ac:dyDescent="0.1">
      <c r="E814" s="48" t="s">
        <v>2256</v>
      </c>
      <c r="F814" s="48" t="s">
        <v>1037</v>
      </c>
      <c r="G814" s="48" t="s">
        <v>2257</v>
      </c>
      <c r="H814" s="48">
        <v>5000</v>
      </c>
    </row>
    <row r="815" spans="5:8" x14ac:dyDescent="0.1">
      <c r="E815" s="48" t="s">
        <v>2258</v>
      </c>
      <c r="F815" s="48" t="s">
        <v>1128</v>
      </c>
      <c r="G815" s="48" t="s">
        <v>2259</v>
      </c>
      <c r="H815" s="48">
        <v>5000</v>
      </c>
    </row>
    <row r="816" spans="5:8" x14ac:dyDescent="0.1">
      <c r="E816" s="48" t="s">
        <v>2260</v>
      </c>
      <c r="F816" s="48" t="s">
        <v>1128</v>
      </c>
      <c r="G816" s="48" t="s">
        <v>2261</v>
      </c>
      <c r="H816" s="48">
        <v>5000</v>
      </c>
    </row>
    <row r="817" spans="5:8" x14ac:dyDescent="0.1">
      <c r="E817" s="48" t="s">
        <v>2262</v>
      </c>
      <c r="F817" s="48" t="s">
        <v>1037</v>
      </c>
      <c r="G817" s="48" t="s">
        <v>2263</v>
      </c>
      <c r="H817" s="48">
        <v>5000</v>
      </c>
    </row>
    <row r="818" spans="5:8" x14ac:dyDescent="0.1">
      <c r="E818" s="48" t="s">
        <v>2264</v>
      </c>
      <c r="F818" s="48" t="s">
        <v>1037</v>
      </c>
      <c r="G818" s="48" t="s">
        <v>2265</v>
      </c>
      <c r="H818" s="48">
        <v>5000</v>
      </c>
    </row>
    <row r="819" spans="5:8" x14ac:dyDescent="0.1">
      <c r="E819" s="48" t="s">
        <v>2266</v>
      </c>
      <c r="F819" s="48" t="s">
        <v>1128</v>
      </c>
      <c r="G819" s="48" t="s">
        <v>2267</v>
      </c>
      <c r="H819" s="48">
        <v>5000</v>
      </c>
    </row>
    <row r="820" spans="5:8" x14ac:dyDescent="0.1">
      <c r="E820" s="48" t="s">
        <v>2268</v>
      </c>
      <c r="F820" s="48" t="s">
        <v>1128</v>
      </c>
      <c r="G820" s="48" t="s">
        <v>2269</v>
      </c>
      <c r="H820" s="48">
        <v>5100</v>
      </c>
    </row>
    <row r="821" spans="5:8" x14ac:dyDescent="0.1">
      <c r="E821" s="48" t="s">
        <v>2270</v>
      </c>
      <c r="F821" s="48" t="s">
        <v>1128</v>
      </c>
      <c r="G821" s="48" t="s">
        <v>2271</v>
      </c>
      <c r="H821" s="48">
        <v>5200</v>
      </c>
    </row>
    <row r="822" spans="5:8" x14ac:dyDescent="0.1">
      <c r="E822" s="48" t="s">
        <v>2272</v>
      </c>
      <c r="F822" s="48" t="s">
        <v>1037</v>
      </c>
      <c r="G822" s="48" t="s">
        <v>2273</v>
      </c>
      <c r="H822" s="48">
        <v>5300</v>
      </c>
    </row>
    <row r="823" spans="5:8" x14ac:dyDescent="0.1">
      <c r="E823" s="48" t="s">
        <v>2274</v>
      </c>
      <c r="F823" s="48" t="s">
        <v>1128</v>
      </c>
      <c r="G823" s="48" t="s">
        <v>1833</v>
      </c>
      <c r="H823" s="48">
        <v>5400</v>
      </c>
    </row>
    <row r="824" spans="5:8" x14ac:dyDescent="0.1">
      <c r="E824" s="48" t="s">
        <v>2275</v>
      </c>
      <c r="F824" s="48" t="s">
        <v>1037</v>
      </c>
      <c r="G824" s="48" t="s">
        <v>1864</v>
      </c>
      <c r="H824" s="48">
        <v>5500</v>
      </c>
    </row>
    <row r="825" spans="5:8" x14ac:dyDescent="0.1">
      <c r="E825" s="48" t="s">
        <v>2276</v>
      </c>
      <c r="F825" s="48" t="s">
        <v>1037</v>
      </c>
      <c r="G825" s="48" t="s">
        <v>1828</v>
      </c>
      <c r="H825" s="48">
        <v>5500</v>
      </c>
    </row>
    <row r="826" spans="5:8" x14ac:dyDescent="0.1">
      <c r="E826" s="48" t="s">
        <v>2277</v>
      </c>
      <c r="F826" s="48" t="s">
        <v>1128</v>
      </c>
      <c r="G826" s="48" t="s">
        <v>2278</v>
      </c>
      <c r="H826" s="48">
        <v>5500</v>
      </c>
    </row>
    <row r="827" spans="5:8" x14ac:dyDescent="0.1">
      <c r="E827" s="48" t="s">
        <v>2279</v>
      </c>
      <c r="F827" s="48" t="s">
        <v>1128</v>
      </c>
      <c r="G827" s="48" t="s">
        <v>2280</v>
      </c>
      <c r="H827" s="48">
        <v>5500</v>
      </c>
    </row>
    <row r="828" spans="5:8" x14ac:dyDescent="0.1">
      <c r="E828" s="48" t="s">
        <v>2281</v>
      </c>
      <c r="F828" s="48" t="s">
        <v>1128</v>
      </c>
      <c r="G828" s="48" t="s">
        <v>2282</v>
      </c>
      <c r="H828" s="48">
        <v>5500</v>
      </c>
    </row>
    <row r="829" spans="5:8" x14ac:dyDescent="0.1">
      <c r="E829" s="48" t="s">
        <v>2283</v>
      </c>
      <c r="F829" s="48" t="s">
        <v>1128</v>
      </c>
      <c r="G829" s="48" t="s">
        <v>2284</v>
      </c>
      <c r="H829" s="48">
        <v>5500</v>
      </c>
    </row>
    <row r="830" spans="5:8" x14ac:dyDescent="0.1">
      <c r="E830" s="48" t="s">
        <v>2285</v>
      </c>
      <c r="F830" s="48" t="s">
        <v>1128</v>
      </c>
      <c r="G830" s="48" t="s">
        <v>2286</v>
      </c>
      <c r="H830" s="48">
        <v>5500</v>
      </c>
    </row>
    <row r="831" spans="5:8" x14ac:dyDescent="0.1">
      <c r="E831" s="48" t="s">
        <v>2287</v>
      </c>
      <c r="F831" s="48" t="s">
        <v>1037</v>
      </c>
      <c r="G831" s="48" t="s">
        <v>2288</v>
      </c>
      <c r="H831" s="48">
        <v>5500</v>
      </c>
    </row>
    <row r="832" spans="5:8" x14ac:dyDescent="0.1">
      <c r="E832" s="48" t="s">
        <v>2289</v>
      </c>
      <c r="F832" s="48" t="s">
        <v>1128</v>
      </c>
      <c r="G832" s="48" t="s">
        <v>2290</v>
      </c>
      <c r="H832" s="48">
        <v>5500</v>
      </c>
    </row>
    <row r="833" spans="5:8" x14ac:dyDescent="0.1">
      <c r="E833" s="48" t="s">
        <v>2291</v>
      </c>
      <c r="F833" s="48" t="s">
        <v>1037</v>
      </c>
      <c r="G833" s="48" t="s">
        <v>2055</v>
      </c>
      <c r="H833" s="48">
        <v>5500</v>
      </c>
    </row>
    <row r="834" spans="5:8" x14ac:dyDescent="0.1">
      <c r="E834" s="48" t="s">
        <v>2292</v>
      </c>
      <c r="F834" s="48" t="s">
        <v>1128</v>
      </c>
      <c r="G834" s="48" t="s">
        <v>2293</v>
      </c>
      <c r="H834" s="48">
        <v>5800</v>
      </c>
    </row>
    <row r="835" spans="5:8" x14ac:dyDescent="0.1">
      <c r="E835" s="48" t="s">
        <v>2294</v>
      </c>
      <c r="F835" s="48" t="s">
        <v>1037</v>
      </c>
      <c r="G835" s="48" t="s">
        <v>2295</v>
      </c>
      <c r="H835" s="48">
        <v>5800</v>
      </c>
    </row>
    <row r="836" spans="5:8" x14ac:dyDescent="0.1">
      <c r="E836" s="48" t="s">
        <v>2296</v>
      </c>
      <c r="F836" s="48" t="s">
        <v>1128</v>
      </c>
      <c r="G836" s="48" t="s">
        <v>1849</v>
      </c>
      <c r="H836" s="48">
        <v>6000</v>
      </c>
    </row>
    <row r="837" spans="5:8" x14ac:dyDescent="0.1">
      <c r="E837" s="48" t="s">
        <v>2297</v>
      </c>
      <c r="F837" s="48" t="s">
        <v>1037</v>
      </c>
      <c r="G837" s="48" t="s">
        <v>1904</v>
      </c>
      <c r="H837" s="48">
        <v>6000</v>
      </c>
    </row>
    <row r="838" spans="5:8" x14ac:dyDescent="0.1">
      <c r="E838" s="48" t="s">
        <v>2298</v>
      </c>
      <c r="F838" s="48" t="s">
        <v>1037</v>
      </c>
      <c r="G838" s="48" t="s">
        <v>1851</v>
      </c>
      <c r="H838" s="48">
        <v>6000</v>
      </c>
    </row>
    <row r="839" spans="5:8" x14ac:dyDescent="0.1">
      <c r="E839" s="48" t="s">
        <v>2299</v>
      </c>
      <c r="F839" s="48" t="s">
        <v>1037</v>
      </c>
      <c r="G839" s="48" t="s">
        <v>1489</v>
      </c>
      <c r="H839" s="48">
        <v>6000</v>
      </c>
    </row>
    <row r="840" spans="5:8" x14ac:dyDescent="0.1">
      <c r="E840" s="48" t="s">
        <v>2300</v>
      </c>
      <c r="F840" s="48" t="s">
        <v>1037</v>
      </c>
      <c r="G840" s="48" t="s">
        <v>1783</v>
      </c>
      <c r="H840" s="48">
        <v>6000</v>
      </c>
    </row>
    <row r="841" spans="5:8" x14ac:dyDescent="0.1">
      <c r="E841" s="48" t="s">
        <v>2301</v>
      </c>
      <c r="F841" s="48" t="s">
        <v>1037</v>
      </c>
      <c r="G841" s="48" t="s">
        <v>2302</v>
      </c>
      <c r="H841" s="48">
        <v>6000</v>
      </c>
    </row>
    <row r="842" spans="5:8" x14ac:dyDescent="0.1">
      <c r="E842" s="48" t="s">
        <v>2303</v>
      </c>
      <c r="F842" s="48" t="s">
        <v>1128</v>
      </c>
      <c r="G842" s="48" t="s">
        <v>1833</v>
      </c>
      <c r="H842" s="48">
        <v>6000</v>
      </c>
    </row>
    <row r="843" spans="5:8" x14ac:dyDescent="0.1">
      <c r="E843" s="48" t="s">
        <v>2304</v>
      </c>
      <c r="F843" s="48" t="s">
        <v>1128</v>
      </c>
      <c r="G843" s="48" t="s">
        <v>2084</v>
      </c>
      <c r="H843" s="48">
        <v>6000</v>
      </c>
    </row>
    <row r="844" spans="5:8" x14ac:dyDescent="0.1">
      <c r="E844" s="48" t="s">
        <v>2305</v>
      </c>
      <c r="F844" s="48" t="s">
        <v>1128</v>
      </c>
      <c r="G844" s="48" t="s">
        <v>2306</v>
      </c>
      <c r="H844" s="48">
        <v>6000</v>
      </c>
    </row>
    <row r="845" spans="5:8" x14ac:dyDescent="0.1">
      <c r="E845" s="48" t="s">
        <v>2307</v>
      </c>
      <c r="F845" s="48" t="s">
        <v>1037</v>
      </c>
      <c r="G845" s="48" t="s">
        <v>2308</v>
      </c>
      <c r="H845" s="48">
        <v>6000</v>
      </c>
    </row>
    <row r="846" spans="5:8" x14ac:dyDescent="0.1">
      <c r="E846" s="48" t="s">
        <v>2309</v>
      </c>
      <c r="F846" s="48" t="s">
        <v>1128</v>
      </c>
      <c r="G846" s="48" t="s">
        <v>2310</v>
      </c>
      <c r="H846" s="48">
        <v>6000</v>
      </c>
    </row>
    <row r="847" spans="5:8" x14ac:dyDescent="0.1">
      <c r="E847" s="48" t="s">
        <v>2311</v>
      </c>
      <c r="F847" s="48" t="s">
        <v>1128</v>
      </c>
      <c r="G847" s="48" t="s">
        <v>2312</v>
      </c>
      <c r="H847" s="48">
        <v>6000</v>
      </c>
    </row>
    <row r="848" spans="5:8" x14ac:dyDescent="0.1">
      <c r="E848" s="48" t="s">
        <v>2313</v>
      </c>
      <c r="F848" s="48" t="s">
        <v>1037</v>
      </c>
      <c r="G848" s="48" t="s">
        <v>2314</v>
      </c>
      <c r="H848" s="48">
        <v>6000</v>
      </c>
    </row>
    <row r="849" spans="5:8" x14ac:dyDescent="0.1">
      <c r="E849" s="48" t="s">
        <v>2315</v>
      </c>
      <c r="F849" s="48" t="s">
        <v>1128</v>
      </c>
      <c r="G849" s="48" t="s">
        <v>2316</v>
      </c>
      <c r="H849" s="48">
        <v>6000</v>
      </c>
    </row>
    <row r="850" spans="5:8" x14ac:dyDescent="0.1">
      <c r="E850" s="48" t="s">
        <v>2317</v>
      </c>
      <c r="F850" s="48" t="s">
        <v>1128</v>
      </c>
      <c r="G850" s="48" t="s">
        <v>2318</v>
      </c>
      <c r="H850" s="48">
        <v>6000</v>
      </c>
    </row>
    <row r="851" spans="5:8" x14ac:dyDescent="0.1">
      <c r="E851" s="48" t="s">
        <v>2319</v>
      </c>
      <c r="F851" s="48" t="s">
        <v>1128</v>
      </c>
      <c r="G851" s="48" t="s">
        <v>2320</v>
      </c>
      <c r="H851" s="48">
        <v>6000</v>
      </c>
    </row>
    <row r="852" spans="5:8" x14ac:dyDescent="0.1">
      <c r="E852" s="48" t="s">
        <v>2321</v>
      </c>
      <c r="F852" s="48" t="s">
        <v>1128</v>
      </c>
      <c r="G852" s="48" t="s">
        <v>2322</v>
      </c>
      <c r="H852" s="48">
        <v>6000</v>
      </c>
    </row>
    <row r="853" spans="5:8" x14ac:dyDescent="0.1">
      <c r="E853" s="48" t="s">
        <v>2323</v>
      </c>
      <c r="F853" s="48" t="s">
        <v>1037</v>
      </c>
      <c r="G853" s="48" t="s">
        <v>2324</v>
      </c>
      <c r="H853" s="48">
        <v>6000</v>
      </c>
    </row>
    <row r="854" spans="5:8" x14ac:dyDescent="0.1">
      <c r="E854" s="48" t="s">
        <v>2325</v>
      </c>
      <c r="F854" s="48" t="s">
        <v>1128</v>
      </c>
      <c r="G854" s="48" t="s">
        <v>2326</v>
      </c>
      <c r="H854" s="48">
        <v>6000</v>
      </c>
    </row>
    <row r="855" spans="5:8" x14ac:dyDescent="0.1">
      <c r="E855" s="48" t="s">
        <v>2327</v>
      </c>
      <c r="F855" s="48" t="s">
        <v>1128</v>
      </c>
      <c r="G855" s="48" t="s">
        <v>2328</v>
      </c>
      <c r="H855" s="48">
        <v>6400</v>
      </c>
    </row>
    <row r="856" spans="5:8" x14ac:dyDescent="0.1">
      <c r="E856" s="48" t="s">
        <v>2329</v>
      </c>
      <c r="F856" s="48" t="s">
        <v>1037</v>
      </c>
      <c r="G856" s="48" t="s">
        <v>1917</v>
      </c>
      <c r="H856" s="48">
        <v>6500</v>
      </c>
    </row>
    <row r="857" spans="5:8" x14ac:dyDescent="0.1">
      <c r="E857" s="48" t="s">
        <v>2330</v>
      </c>
      <c r="F857" s="48" t="s">
        <v>1128</v>
      </c>
      <c r="G857" s="48" t="s">
        <v>2331</v>
      </c>
      <c r="H857" s="48">
        <v>6500</v>
      </c>
    </row>
    <row r="858" spans="5:8" x14ac:dyDescent="0.1">
      <c r="E858" s="48" t="s">
        <v>2332</v>
      </c>
      <c r="F858" s="48" t="s">
        <v>1128</v>
      </c>
      <c r="G858" s="48" t="s">
        <v>2333</v>
      </c>
      <c r="H858" s="48">
        <v>6500</v>
      </c>
    </row>
    <row r="859" spans="5:8" x14ac:dyDescent="0.1">
      <c r="E859" s="48" t="s">
        <v>2334</v>
      </c>
      <c r="F859" s="48" t="s">
        <v>1037</v>
      </c>
      <c r="G859" s="48" t="s">
        <v>2335</v>
      </c>
      <c r="H859" s="48">
        <v>6500</v>
      </c>
    </row>
    <row r="860" spans="5:8" x14ac:dyDescent="0.1">
      <c r="E860" s="48" t="s">
        <v>2336</v>
      </c>
      <c r="F860" s="48" t="s">
        <v>1128</v>
      </c>
      <c r="G860" s="48" t="s">
        <v>2337</v>
      </c>
      <c r="H860" s="48">
        <v>6500</v>
      </c>
    </row>
    <row r="861" spans="5:8" x14ac:dyDescent="0.1">
      <c r="E861" s="48" t="s">
        <v>2338</v>
      </c>
      <c r="F861" s="48" t="s">
        <v>1037</v>
      </c>
      <c r="G861" s="48" t="s">
        <v>1941</v>
      </c>
      <c r="H861" s="48">
        <v>6600</v>
      </c>
    </row>
    <row r="862" spans="5:8" x14ac:dyDescent="0.1">
      <c r="E862" s="48" t="s">
        <v>2339</v>
      </c>
      <c r="F862" s="48" t="s">
        <v>1128</v>
      </c>
      <c r="G862" s="48" t="s">
        <v>2340</v>
      </c>
      <c r="H862" s="48">
        <v>6600</v>
      </c>
    </row>
    <row r="863" spans="5:8" x14ac:dyDescent="0.1">
      <c r="E863" s="48" t="s">
        <v>2341</v>
      </c>
      <c r="F863" s="48" t="s">
        <v>1128</v>
      </c>
      <c r="G863" s="48" t="s">
        <v>2342</v>
      </c>
      <c r="H863" s="48">
        <v>7000</v>
      </c>
    </row>
    <row r="864" spans="5:8" x14ac:dyDescent="0.1">
      <c r="E864" s="48" t="s">
        <v>2343</v>
      </c>
      <c r="F864" s="48" t="s">
        <v>1128</v>
      </c>
      <c r="G864" s="48" t="s">
        <v>2344</v>
      </c>
      <c r="H864" s="48">
        <v>7000</v>
      </c>
    </row>
    <row r="865" spans="5:8" x14ac:dyDescent="0.1">
      <c r="E865" s="48" t="s">
        <v>2345</v>
      </c>
      <c r="F865" s="48" t="s">
        <v>1128</v>
      </c>
      <c r="G865" s="48" t="s">
        <v>1906</v>
      </c>
      <c r="H865" s="48">
        <v>7000</v>
      </c>
    </row>
    <row r="866" spans="5:8" x14ac:dyDescent="0.1">
      <c r="E866" s="48" t="s">
        <v>2346</v>
      </c>
      <c r="F866" s="48" t="s">
        <v>1128</v>
      </c>
      <c r="G866" s="48" t="s">
        <v>2084</v>
      </c>
      <c r="H866" s="48">
        <v>7000</v>
      </c>
    </row>
    <row r="867" spans="5:8" x14ac:dyDescent="0.1">
      <c r="E867" s="48" t="s">
        <v>2347</v>
      </c>
      <c r="F867" s="48" t="s">
        <v>1128</v>
      </c>
      <c r="G867" s="48" t="s">
        <v>2348</v>
      </c>
      <c r="H867" s="48">
        <v>7000</v>
      </c>
    </row>
    <row r="868" spans="5:8" x14ac:dyDescent="0.1">
      <c r="E868" s="48" t="s">
        <v>2349</v>
      </c>
      <c r="F868" s="48" t="s">
        <v>1037</v>
      </c>
      <c r="G868" s="48" t="s">
        <v>2350</v>
      </c>
      <c r="H868" s="48">
        <v>7000</v>
      </c>
    </row>
    <row r="869" spans="5:8" x14ac:dyDescent="0.1">
      <c r="E869" s="48" t="s">
        <v>2351</v>
      </c>
      <c r="F869" s="48" t="s">
        <v>1128</v>
      </c>
      <c r="G869" s="48" t="s">
        <v>2352</v>
      </c>
      <c r="H869" s="48">
        <v>7000</v>
      </c>
    </row>
    <row r="870" spans="5:8" x14ac:dyDescent="0.1">
      <c r="E870" s="48" t="s">
        <v>2353</v>
      </c>
      <c r="F870" s="48" t="s">
        <v>1128</v>
      </c>
      <c r="G870" s="48" t="s">
        <v>2354</v>
      </c>
      <c r="H870" s="48">
        <v>7000</v>
      </c>
    </row>
    <row r="871" spans="5:8" x14ac:dyDescent="0.1">
      <c r="E871" s="48" t="s">
        <v>2355</v>
      </c>
      <c r="F871" s="48" t="s">
        <v>1128</v>
      </c>
      <c r="G871" s="48" t="s">
        <v>2356</v>
      </c>
      <c r="H871" s="48">
        <v>7000</v>
      </c>
    </row>
    <row r="872" spans="5:8" x14ac:dyDescent="0.1">
      <c r="E872" s="48" t="s">
        <v>2357</v>
      </c>
      <c r="F872" s="48" t="s">
        <v>1037</v>
      </c>
      <c r="G872" s="48" t="s">
        <v>1048</v>
      </c>
      <c r="H872" s="48">
        <v>7200</v>
      </c>
    </row>
    <row r="873" spans="5:8" x14ac:dyDescent="0.1">
      <c r="E873" s="48" t="s">
        <v>2358</v>
      </c>
      <c r="F873" s="48" t="s">
        <v>1037</v>
      </c>
      <c r="G873" s="48" t="s">
        <v>1430</v>
      </c>
      <c r="H873" s="48">
        <v>7500</v>
      </c>
    </row>
    <row r="874" spans="5:8" x14ac:dyDescent="0.1">
      <c r="E874" s="48" t="s">
        <v>2359</v>
      </c>
      <c r="F874" s="48" t="s">
        <v>1128</v>
      </c>
      <c r="G874" s="48" t="s">
        <v>2360</v>
      </c>
      <c r="H874" s="48">
        <v>7500</v>
      </c>
    </row>
    <row r="875" spans="5:8" x14ac:dyDescent="0.1">
      <c r="E875" s="48" t="s">
        <v>2361</v>
      </c>
      <c r="F875" s="48" t="s">
        <v>1128</v>
      </c>
      <c r="G875" s="48" t="s">
        <v>2362</v>
      </c>
      <c r="H875" s="48">
        <v>7500</v>
      </c>
    </row>
    <row r="876" spans="5:8" x14ac:dyDescent="0.1">
      <c r="E876" s="48" t="s">
        <v>2363</v>
      </c>
      <c r="F876" s="48" t="s">
        <v>1128</v>
      </c>
      <c r="G876" s="48" t="s">
        <v>2364</v>
      </c>
      <c r="H876" s="48">
        <v>7500</v>
      </c>
    </row>
    <row r="877" spans="5:8" x14ac:dyDescent="0.1">
      <c r="E877" s="48" t="s">
        <v>2365</v>
      </c>
      <c r="F877" s="48" t="s">
        <v>1128</v>
      </c>
      <c r="G877" s="48" t="s">
        <v>2366</v>
      </c>
      <c r="H877" s="48">
        <v>7500</v>
      </c>
    </row>
    <row r="878" spans="5:8" x14ac:dyDescent="0.1">
      <c r="E878" s="48" t="s">
        <v>2367</v>
      </c>
      <c r="F878" s="48" t="s">
        <v>1037</v>
      </c>
      <c r="G878" s="48" t="s">
        <v>2368</v>
      </c>
      <c r="H878" s="48">
        <v>7500</v>
      </c>
    </row>
    <row r="879" spans="5:8" x14ac:dyDescent="0.1">
      <c r="E879" s="48" t="s">
        <v>2369</v>
      </c>
      <c r="F879" s="48" t="s">
        <v>1037</v>
      </c>
      <c r="G879" s="48" t="s">
        <v>2370</v>
      </c>
      <c r="H879" s="48">
        <v>7500</v>
      </c>
    </row>
    <row r="880" spans="5:8" x14ac:dyDescent="0.1">
      <c r="E880" s="48" t="s">
        <v>2371</v>
      </c>
      <c r="F880" s="48" t="s">
        <v>1037</v>
      </c>
      <c r="G880" s="48" t="s">
        <v>2372</v>
      </c>
      <c r="H880" s="48">
        <v>8000</v>
      </c>
    </row>
    <row r="881" spans="5:8" x14ac:dyDescent="0.1">
      <c r="E881" s="48" t="s">
        <v>2373</v>
      </c>
      <c r="F881" s="48" t="s">
        <v>1128</v>
      </c>
      <c r="G881" s="48" t="s">
        <v>1833</v>
      </c>
      <c r="H881" s="48">
        <v>8000</v>
      </c>
    </row>
    <row r="882" spans="5:8" x14ac:dyDescent="0.1">
      <c r="E882" s="48" t="s">
        <v>2374</v>
      </c>
      <c r="F882" s="48" t="s">
        <v>1128</v>
      </c>
      <c r="G882" s="48" t="s">
        <v>1943</v>
      </c>
      <c r="H882" s="48">
        <v>8000</v>
      </c>
    </row>
    <row r="883" spans="5:8" x14ac:dyDescent="0.1">
      <c r="E883" s="48" t="s">
        <v>2375</v>
      </c>
      <c r="F883" s="48" t="s">
        <v>1128</v>
      </c>
      <c r="G883" s="48" t="s">
        <v>1945</v>
      </c>
      <c r="H883" s="48">
        <v>8000</v>
      </c>
    </row>
    <row r="884" spans="5:8" x14ac:dyDescent="0.1">
      <c r="E884" s="48" t="s">
        <v>2376</v>
      </c>
      <c r="F884" s="48" t="s">
        <v>1128</v>
      </c>
      <c r="G884" s="48" t="s">
        <v>2377</v>
      </c>
      <c r="H884" s="48">
        <v>8000</v>
      </c>
    </row>
    <row r="885" spans="5:8" x14ac:dyDescent="0.1">
      <c r="E885" s="48" t="s">
        <v>2378</v>
      </c>
      <c r="F885" s="48" t="s">
        <v>1128</v>
      </c>
      <c r="G885" s="48" t="s">
        <v>2379</v>
      </c>
      <c r="H885" s="48">
        <v>8000</v>
      </c>
    </row>
    <row r="886" spans="5:8" x14ac:dyDescent="0.1">
      <c r="E886" s="48" t="s">
        <v>2380</v>
      </c>
      <c r="F886" s="48" t="s">
        <v>1128</v>
      </c>
      <c r="G886" s="48" t="s">
        <v>2381</v>
      </c>
      <c r="H886" s="48">
        <v>8000</v>
      </c>
    </row>
    <row r="887" spans="5:8" x14ac:dyDescent="0.1">
      <c r="E887" s="48" t="s">
        <v>2382</v>
      </c>
      <c r="F887" s="48" t="s">
        <v>1037</v>
      </c>
      <c r="G887" s="48" t="s">
        <v>2383</v>
      </c>
      <c r="H887" s="48">
        <v>8000</v>
      </c>
    </row>
    <row r="888" spans="5:8" x14ac:dyDescent="0.1">
      <c r="E888" s="48" t="s">
        <v>2384</v>
      </c>
      <c r="F888" s="48" t="s">
        <v>1037</v>
      </c>
      <c r="G888" s="48" t="s">
        <v>2385</v>
      </c>
      <c r="H888" s="48">
        <v>8000</v>
      </c>
    </row>
    <row r="889" spans="5:8" x14ac:dyDescent="0.1">
      <c r="E889" s="48" t="s">
        <v>2386</v>
      </c>
      <c r="F889" s="48" t="s">
        <v>1037</v>
      </c>
      <c r="G889" s="48" t="s">
        <v>2225</v>
      </c>
      <c r="H889" s="48">
        <v>8000</v>
      </c>
    </row>
    <row r="890" spans="5:8" x14ac:dyDescent="0.1">
      <c r="E890" s="48" t="s">
        <v>2387</v>
      </c>
      <c r="F890" s="48" t="s">
        <v>1128</v>
      </c>
      <c r="G890" s="48" t="s">
        <v>2388</v>
      </c>
      <c r="H890" s="48">
        <v>8000</v>
      </c>
    </row>
    <row r="891" spans="5:8" x14ac:dyDescent="0.1">
      <c r="E891" s="48" t="s">
        <v>2389</v>
      </c>
      <c r="F891" s="48" t="s">
        <v>1128</v>
      </c>
      <c r="G891" s="48" t="s">
        <v>2390</v>
      </c>
      <c r="H891" s="48">
        <v>8000</v>
      </c>
    </row>
    <row r="892" spans="5:8" x14ac:dyDescent="0.1">
      <c r="E892" s="48" t="s">
        <v>2391</v>
      </c>
      <c r="F892" s="48" t="s">
        <v>1037</v>
      </c>
      <c r="G892" s="48" t="s">
        <v>2392</v>
      </c>
      <c r="H892" s="48">
        <v>8500</v>
      </c>
    </row>
    <row r="893" spans="5:8" x14ac:dyDescent="0.1">
      <c r="E893" s="48" t="s">
        <v>2393</v>
      </c>
      <c r="F893" s="48" t="s">
        <v>1128</v>
      </c>
      <c r="G893" s="48" t="s">
        <v>2394</v>
      </c>
      <c r="H893" s="48">
        <v>8500</v>
      </c>
    </row>
    <row r="894" spans="5:8" x14ac:dyDescent="0.1">
      <c r="E894" s="48" t="s">
        <v>2395</v>
      </c>
      <c r="F894" s="48" t="s">
        <v>1128</v>
      </c>
      <c r="G894" s="48" t="s">
        <v>2396</v>
      </c>
      <c r="H894" s="48">
        <v>8800</v>
      </c>
    </row>
    <row r="895" spans="5:8" x14ac:dyDescent="0.1">
      <c r="E895" s="48" t="s">
        <v>2397</v>
      </c>
      <c r="F895" s="48" t="s">
        <v>1128</v>
      </c>
      <c r="G895" s="48" t="s">
        <v>2398</v>
      </c>
      <c r="H895" s="48">
        <v>9000</v>
      </c>
    </row>
    <row r="896" spans="5:8" x14ac:dyDescent="0.1">
      <c r="E896" s="48" t="s">
        <v>2399</v>
      </c>
      <c r="F896" s="48" t="s">
        <v>1128</v>
      </c>
      <c r="G896" s="48" t="s">
        <v>2400</v>
      </c>
      <c r="H896" s="48">
        <v>9000</v>
      </c>
    </row>
    <row r="897" spans="5:8" x14ac:dyDescent="0.1">
      <c r="E897" s="48" t="s">
        <v>2401</v>
      </c>
      <c r="F897" s="48" t="s">
        <v>1128</v>
      </c>
      <c r="G897" s="48" t="s">
        <v>2402</v>
      </c>
      <c r="H897" s="48">
        <v>9000</v>
      </c>
    </row>
    <row r="898" spans="5:8" x14ac:dyDescent="0.1">
      <c r="E898" s="48" t="s">
        <v>2403</v>
      </c>
      <c r="F898" s="48" t="s">
        <v>1037</v>
      </c>
      <c r="G898" s="48" t="s">
        <v>2404</v>
      </c>
      <c r="H898" s="48">
        <v>9000</v>
      </c>
    </row>
    <row r="899" spans="5:8" x14ac:dyDescent="0.1">
      <c r="E899" s="48" t="s">
        <v>2405</v>
      </c>
      <c r="F899" s="48" t="s">
        <v>1128</v>
      </c>
      <c r="G899" s="48" t="s">
        <v>2406</v>
      </c>
      <c r="H899" s="48">
        <v>9000</v>
      </c>
    </row>
    <row r="900" spans="5:8" x14ac:dyDescent="0.1">
      <c r="E900" s="48" t="s">
        <v>2407</v>
      </c>
      <c r="F900" s="48" t="s">
        <v>1128</v>
      </c>
      <c r="G900" s="48" t="s">
        <v>2408</v>
      </c>
      <c r="H900" s="48">
        <v>9000</v>
      </c>
    </row>
    <row r="901" spans="5:8" x14ac:dyDescent="0.1">
      <c r="E901" s="48" t="s">
        <v>2409</v>
      </c>
      <c r="F901" s="48" t="s">
        <v>1037</v>
      </c>
      <c r="G901" s="48" t="s">
        <v>2410</v>
      </c>
      <c r="H901" s="48">
        <v>9000</v>
      </c>
    </row>
    <row r="902" spans="5:8" x14ac:dyDescent="0.1">
      <c r="E902" s="48" t="s">
        <v>2411</v>
      </c>
      <c r="F902" s="48" t="s">
        <v>1128</v>
      </c>
      <c r="G902" s="48" t="s">
        <v>2412</v>
      </c>
      <c r="H902" s="48">
        <v>9500</v>
      </c>
    </row>
    <row r="903" spans="5:8" x14ac:dyDescent="0.1">
      <c r="E903" s="48" t="s">
        <v>2413</v>
      </c>
      <c r="F903" s="48" t="s">
        <v>1037</v>
      </c>
      <c r="G903" s="48" t="s">
        <v>2318</v>
      </c>
      <c r="H903" s="48">
        <v>9500</v>
      </c>
    </row>
    <row r="904" spans="5:8" x14ac:dyDescent="0.1">
      <c r="E904" s="48" t="s">
        <v>2414</v>
      </c>
      <c r="F904" s="48" t="s">
        <v>1037</v>
      </c>
      <c r="G904" s="48" t="s">
        <v>2415</v>
      </c>
      <c r="H904" s="48">
        <v>9500</v>
      </c>
    </row>
    <row r="905" spans="5:8" x14ac:dyDescent="0.1">
      <c r="E905" s="48" t="s">
        <v>2416</v>
      </c>
      <c r="F905" s="48" t="s">
        <v>1128</v>
      </c>
      <c r="G905" s="48" t="s">
        <v>2172</v>
      </c>
      <c r="H905" s="48">
        <v>10000</v>
      </c>
    </row>
    <row r="906" spans="5:8" x14ac:dyDescent="0.1">
      <c r="E906" s="48" t="s">
        <v>2417</v>
      </c>
      <c r="F906" s="48" t="s">
        <v>1128</v>
      </c>
      <c r="G906" s="48" t="s">
        <v>2172</v>
      </c>
      <c r="H906" s="48">
        <v>10000</v>
      </c>
    </row>
    <row r="907" spans="5:8" x14ac:dyDescent="0.1">
      <c r="E907" s="48" t="s">
        <v>2418</v>
      </c>
      <c r="F907" s="48" t="s">
        <v>1128</v>
      </c>
      <c r="G907" s="48" t="s">
        <v>2419</v>
      </c>
      <c r="H907" s="48">
        <v>10000</v>
      </c>
    </row>
    <row r="908" spans="5:8" x14ac:dyDescent="0.1">
      <c r="E908" s="48" t="s">
        <v>2420</v>
      </c>
      <c r="F908" s="48" t="s">
        <v>1128</v>
      </c>
      <c r="G908" s="48" t="s">
        <v>2039</v>
      </c>
      <c r="H908" s="48">
        <v>10000</v>
      </c>
    </row>
    <row r="909" spans="5:8" x14ac:dyDescent="0.1">
      <c r="E909" s="48" t="s">
        <v>2421</v>
      </c>
      <c r="F909" s="48" t="s">
        <v>1128</v>
      </c>
      <c r="G909" s="48" t="s">
        <v>2422</v>
      </c>
      <c r="H909" s="48">
        <v>10000</v>
      </c>
    </row>
    <row r="910" spans="5:8" x14ac:dyDescent="0.1">
      <c r="E910" s="48" t="s">
        <v>2423</v>
      </c>
      <c r="F910" s="48" t="s">
        <v>1128</v>
      </c>
      <c r="G910" s="48" t="s">
        <v>2424</v>
      </c>
      <c r="H910" s="48">
        <v>10000</v>
      </c>
    </row>
    <row r="911" spans="5:8" x14ac:dyDescent="0.1">
      <c r="E911" s="48" t="s">
        <v>2425</v>
      </c>
      <c r="F911" s="48" t="s">
        <v>1128</v>
      </c>
      <c r="G911" s="48" t="s">
        <v>2426</v>
      </c>
      <c r="H911" s="48">
        <v>10000</v>
      </c>
    </row>
    <row r="912" spans="5:8" x14ac:dyDescent="0.1">
      <c r="E912" s="48" t="s">
        <v>2427</v>
      </c>
      <c r="F912" s="48" t="s">
        <v>1128</v>
      </c>
      <c r="G912" s="48" t="s">
        <v>2428</v>
      </c>
      <c r="H912" s="48">
        <v>10000</v>
      </c>
    </row>
    <row r="913" spans="5:8" x14ac:dyDescent="0.1">
      <c r="E913" s="48" t="s">
        <v>2429</v>
      </c>
      <c r="F913" s="48" t="s">
        <v>1128</v>
      </c>
      <c r="G913" s="48" t="s">
        <v>2430</v>
      </c>
      <c r="H913" s="48">
        <v>10000</v>
      </c>
    </row>
    <row r="914" spans="5:8" x14ac:dyDescent="0.1">
      <c r="E914" s="48" t="s">
        <v>2431</v>
      </c>
      <c r="F914" s="48" t="s">
        <v>1128</v>
      </c>
      <c r="G914" s="48" t="s">
        <v>2432</v>
      </c>
      <c r="H914" s="48">
        <v>10000</v>
      </c>
    </row>
    <row r="915" spans="5:8" x14ac:dyDescent="0.1">
      <c r="E915" s="48" t="s">
        <v>2433</v>
      </c>
      <c r="F915" s="48" t="s">
        <v>1037</v>
      </c>
      <c r="G915" s="48" t="s">
        <v>2434</v>
      </c>
      <c r="H915" s="48">
        <v>10000</v>
      </c>
    </row>
    <row r="916" spans="5:8" x14ac:dyDescent="0.1">
      <c r="E916" s="48" t="s">
        <v>2435</v>
      </c>
      <c r="F916" s="48" t="s">
        <v>1037</v>
      </c>
      <c r="G916" s="48" t="s">
        <v>2436</v>
      </c>
      <c r="H916" s="48">
        <v>10000</v>
      </c>
    </row>
    <row r="917" spans="5:8" x14ac:dyDescent="0.1">
      <c r="E917" s="48" t="s">
        <v>2437</v>
      </c>
      <c r="F917" s="48" t="s">
        <v>1128</v>
      </c>
      <c r="G917" s="48" t="s">
        <v>2438</v>
      </c>
      <c r="H917" s="48">
        <v>10000</v>
      </c>
    </row>
    <row r="918" spans="5:8" x14ac:dyDescent="0.1">
      <c r="E918" s="48" t="s">
        <v>2439</v>
      </c>
      <c r="F918" s="48" t="s">
        <v>1128</v>
      </c>
      <c r="G918" s="48" t="s">
        <v>2440</v>
      </c>
      <c r="H918" s="48">
        <v>10500</v>
      </c>
    </row>
    <row r="919" spans="5:8" x14ac:dyDescent="0.1">
      <c r="E919" s="48" t="s">
        <v>2441</v>
      </c>
      <c r="F919" s="48" t="s">
        <v>1128</v>
      </c>
      <c r="G919" s="48" t="s">
        <v>2442</v>
      </c>
      <c r="H919" s="48">
        <v>11000</v>
      </c>
    </row>
    <row r="920" spans="5:8" x14ac:dyDescent="0.1">
      <c r="E920" s="48" t="s">
        <v>2443</v>
      </c>
      <c r="F920" s="48" t="s">
        <v>1128</v>
      </c>
      <c r="G920" s="48" t="s">
        <v>2444</v>
      </c>
      <c r="H920" s="48">
        <v>11000</v>
      </c>
    </row>
    <row r="921" spans="5:8" x14ac:dyDescent="0.1">
      <c r="E921" s="48" t="s">
        <v>2445</v>
      </c>
      <c r="F921" s="48" t="s">
        <v>1128</v>
      </c>
      <c r="G921" s="48" t="s">
        <v>2446</v>
      </c>
      <c r="H921" s="48">
        <v>11000</v>
      </c>
    </row>
    <row r="922" spans="5:8" x14ac:dyDescent="0.1">
      <c r="E922" s="48" t="s">
        <v>2447</v>
      </c>
      <c r="F922" s="48" t="s">
        <v>1128</v>
      </c>
      <c r="G922" s="48" t="s">
        <v>2448</v>
      </c>
      <c r="H922" s="48">
        <v>11000</v>
      </c>
    </row>
    <row r="923" spans="5:8" x14ac:dyDescent="0.1">
      <c r="E923" s="48" t="s">
        <v>2449</v>
      </c>
      <c r="F923" s="48" t="s">
        <v>1037</v>
      </c>
      <c r="G923" s="48" t="s">
        <v>2450</v>
      </c>
      <c r="H923" s="48">
        <v>11000</v>
      </c>
    </row>
    <row r="924" spans="5:8" x14ac:dyDescent="0.1">
      <c r="E924" s="48" t="s">
        <v>2451</v>
      </c>
      <c r="F924" s="48" t="s">
        <v>1128</v>
      </c>
      <c r="G924" s="48" t="s">
        <v>2452</v>
      </c>
      <c r="H924" s="48">
        <v>11500</v>
      </c>
    </row>
    <row r="925" spans="5:8" x14ac:dyDescent="0.1">
      <c r="E925" s="48" t="s">
        <v>2453</v>
      </c>
      <c r="F925" s="48" t="s">
        <v>1128</v>
      </c>
      <c r="G925" s="48" t="s">
        <v>2454</v>
      </c>
      <c r="H925" s="48">
        <v>12000</v>
      </c>
    </row>
    <row r="926" spans="5:8" x14ac:dyDescent="0.1">
      <c r="E926" s="48" t="s">
        <v>2455</v>
      </c>
      <c r="F926" s="48" t="s">
        <v>1128</v>
      </c>
      <c r="G926" s="48" t="s">
        <v>2456</v>
      </c>
      <c r="H926" s="48">
        <v>12000</v>
      </c>
    </row>
    <row r="927" spans="5:8" x14ac:dyDescent="0.1">
      <c r="E927" s="48" t="s">
        <v>2457</v>
      </c>
      <c r="F927" s="48" t="s">
        <v>1037</v>
      </c>
      <c r="G927" s="48" t="s">
        <v>1508</v>
      </c>
      <c r="H927" s="48">
        <v>12000</v>
      </c>
    </row>
    <row r="928" spans="5:8" x14ac:dyDescent="0.1">
      <c r="E928" s="48" t="s">
        <v>2458</v>
      </c>
      <c r="F928" s="48" t="s">
        <v>1128</v>
      </c>
      <c r="G928" s="48" t="s">
        <v>2459</v>
      </c>
      <c r="H928" s="48">
        <v>12000</v>
      </c>
    </row>
    <row r="929" spans="5:8" x14ac:dyDescent="0.1">
      <c r="E929" s="48" t="s">
        <v>2460</v>
      </c>
      <c r="F929" s="48" t="s">
        <v>1128</v>
      </c>
      <c r="G929" s="48" t="s">
        <v>2461</v>
      </c>
      <c r="H929" s="48">
        <v>12000</v>
      </c>
    </row>
    <row r="930" spans="5:8" x14ac:dyDescent="0.1">
      <c r="E930" s="48" t="s">
        <v>2462</v>
      </c>
      <c r="F930" s="48" t="s">
        <v>1128</v>
      </c>
      <c r="G930" s="48" t="s">
        <v>2463</v>
      </c>
      <c r="H930" s="48">
        <v>12000</v>
      </c>
    </row>
    <row r="931" spans="5:8" x14ac:dyDescent="0.1">
      <c r="E931" s="48" t="s">
        <v>2464</v>
      </c>
      <c r="F931" s="48" t="s">
        <v>1128</v>
      </c>
      <c r="G931" s="48" t="s">
        <v>2465</v>
      </c>
      <c r="H931" s="48">
        <v>12500</v>
      </c>
    </row>
    <row r="932" spans="5:8" x14ac:dyDescent="0.1">
      <c r="E932" s="48" t="s">
        <v>2466</v>
      </c>
      <c r="F932" s="48" t="s">
        <v>1128</v>
      </c>
      <c r="G932" s="48" t="s">
        <v>2467</v>
      </c>
      <c r="H932" s="48">
        <v>12500</v>
      </c>
    </row>
    <row r="933" spans="5:8" x14ac:dyDescent="0.1">
      <c r="E933" s="48" t="s">
        <v>2468</v>
      </c>
      <c r="F933" s="48" t="s">
        <v>1128</v>
      </c>
      <c r="G933" s="48" t="s">
        <v>2469</v>
      </c>
      <c r="H933" s="48">
        <v>12500</v>
      </c>
    </row>
    <row r="934" spans="5:8" x14ac:dyDescent="0.1">
      <c r="E934" s="48" t="s">
        <v>2470</v>
      </c>
      <c r="F934" s="48" t="s">
        <v>1128</v>
      </c>
      <c r="G934" s="48" t="s">
        <v>2471</v>
      </c>
      <c r="H934" s="48">
        <v>12500</v>
      </c>
    </row>
    <row r="935" spans="5:8" x14ac:dyDescent="0.1">
      <c r="E935" s="48" t="s">
        <v>2472</v>
      </c>
      <c r="F935" s="48" t="s">
        <v>1037</v>
      </c>
      <c r="G935" s="48" t="s">
        <v>2473</v>
      </c>
      <c r="H935" s="48">
        <v>12500</v>
      </c>
    </row>
    <row r="936" spans="5:8" x14ac:dyDescent="0.1">
      <c r="E936" s="48" t="s">
        <v>2474</v>
      </c>
      <c r="F936" s="48" t="s">
        <v>1128</v>
      </c>
      <c r="G936" s="48" t="s">
        <v>2475</v>
      </c>
      <c r="H936" s="48">
        <v>13000</v>
      </c>
    </row>
    <row r="937" spans="5:8" x14ac:dyDescent="0.1">
      <c r="E937" s="48" t="s">
        <v>2476</v>
      </c>
      <c r="F937" s="48" t="s">
        <v>1128</v>
      </c>
      <c r="G937" s="48" t="s">
        <v>2477</v>
      </c>
      <c r="H937" s="48">
        <v>13000</v>
      </c>
    </row>
    <row r="938" spans="5:8" x14ac:dyDescent="0.1">
      <c r="E938" s="48" t="s">
        <v>2478</v>
      </c>
      <c r="F938" s="48" t="s">
        <v>1128</v>
      </c>
      <c r="G938" s="48" t="s">
        <v>2479</v>
      </c>
      <c r="H938" s="48">
        <v>13000</v>
      </c>
    </row>
    <row r="939" spans="5:8" x14ac:dyDescent="0.1">
      <c r="E939" s="48" t="s">
        <v>2480</v>
      </c>
      <c r="F939" s="48" t="s">
        <v>1128</v>
      </c>
      <c r="G939" s="48" t="s">
        <v>2481</v>
      </c>
      <c r="H939" s="48">
        <v>13000</v>
      </c>
    </row>
    <row r="940" spans="5:8" x14ac:dyDescent="0.1">
      <c r="E940" s="48" t="s">
        <v>2482</v>
      </c>
      <c r="F940" s="48" t="s">
        <v>1037</v>
      </c>
      <c r="G940" s="48" t="s">
        <v>2483</v>
      </c>
      <c r="H940" s="48">
        <v>13000</v>
      </c>
    </row>
    <row r="941" spans="5:8" x14ac:dyDescent="0.1">
      <c r="E941" s="48" t="s">
        <v>2484</v>
      </c>
      <c r="F941" s="48" t="s">
        <v>1128</v>
      </c>
      <c r="G941" s="48" t="s">
        <v>2485</v>
      </c>
      <c r="H941" s="48">
        <v>14000</v>
      </c>
    </row>
    <row r="942" spans="5:8" x14ac:dyDescent="0.1">
      <c r="E942" s="48" t="s">
        <v>2486</v>
      </c>
      <c r="F942" s="48" t="s">
        <v>1037</v>
      </c>
      <c r="G942" s="48" t="s">
        <v>2487</v>
      </c>
      <c r="H942" s="48">
        <v>14000</v>
      </c>
    </row>
    <row r="943" spans="5:8" x14ac:dyDescent="0.1">
      <c r="E943" s="48" t="s">
        <v>2488</v>
      </c>
      <c r="F943" s="48" t="s">
        <v>1037</v>
      </c>
      <c r="G943" s="48" t="s">
        <v>1048</v>
      </c>
      <c r="H943" s="48">
        <v>14400</v>
      </c>
    </row>
    <row r="944" spans="5:8" x14ac:dyDescent="0.1">
      <c r="E944" s="48" t="s">
        <v>2489</v>
      </c>
      <c r="F944" s="48" t="s">
        <v>1128</v>
      </c>
      <c r="G944" s="48" t="s">
        <v>1673</v>
      </c>
      <c r="H944" s="48">
        <v>15000</v>
      </c>
    </row>
    <row r="945" spans="5:8" x14ac:dyDescent="0.1">
      <c r="E945" s="48" t="s">
        <v>2490</v>
      </c>
      <c r="F945" s="48" t="s">
        <v>1037</v>
      </c>
      <c r="G945" s="48" t="s">
        <v>2491</v>
      </c>
      <c r="H945" s="48">
        <v>15000</v>
      </c>
    </row>
    <row r="946" spans="5:8" x14ac:dyDescent="0.1">
      <c r="E946" s="48" t="s">
        <v>2492</v>
      </c>
      <c r="F946" s="48" t="s">
        <v>1128</v>
      </c>
      <c r="G946" s="48" t="s">
        <v>2493</v>
      </c>
      <c r="H946" s="48">
        <v>15000</v>
      </c>
    </row>
    <row r="947" spans="5:8" x14ac:dyDescent="0.1">
      <c r="E947" s="48" t="s">
        <v>2494</v>
      </c>
      <c r="F947" s="48" t="s">
        <v>1037</v>
      </c>
      <c r="G947" s="48" t="s">
        <v>2495</v>
      </c>
      <c r="H947" s="48">
        <v>15000</v>
      </c>
    </row>
    <row r="948" spans="5:8" x14ac:dyDescent="0.1">
      <c r="E948" s="48" t="s">
        <v>2496</v>
      </c>
      <c r="F948" s="48" t="s">
        <v>1037</v>
      </c>
      <c r="G948" s="48" t="s">
        <v>1430</v>
      </c>
      <c r="H948" s="48">
        <v>16000</v>
      </c>
    </row>
    <row r="949" spans="5:8" x14ac:dyDescent="0.1">
      <c r="E949" s="48" t="s">
        <v>2497</v>
      </c>
      <c r="F949" s="48" t="s">
        <v>1128</v>
      </c>
      <c r="G949" s="48" t="s">
        <v>1833</v>
      </c>
      <c r="H949" s="48">
        <v>16000</v>
      </c>
    </row>
    <row r="950" spans="5:8" x14ac:dyDescent="0.1">
      <c r="E950" s="48" t="s">
        <v>2498</v>
      </c>
      <c r="F950" s="48" t="s">
        <v>1128</v>
      </c>
      <c r="G950" s="48" t="s">
        <v>2499</v>
      </c>
      <c r="H950" s="48">
        <v>16000</v>
      </c>
    </row>
    <row r="951" spans="5:8" x14ac:dyDescent="0.1">
      <c r="E951" s="48" t="s">
        <v>2500</v>
      </c>
      <c r="F951" s="48" t="s">
        <v>1128</v>
      </c>
      <c r="G951" s="48" t="s">
        <v>2501</v>
      </c>
      <c r="H951" s="48">
        <v>16000</v>
      </c>
    </row>
    <row r="952" spans="5:8" x14ac:dyDescent="0.1">
      <c r="E952" s="48" t="s">
        <v>2502</v>
      </c>
      <c r="F952" s="48" t="s">
        <v>1128</v>
      </c>
      <c r="G952" s="48" t="s">
        <v>2503</v>
      </c>
      <c r="H952" s="48">
        <v>16000</v>
      </c>
    </row>
    <row r="953" spans="5:8" x14ac:dyDescent="0.1">
      <c r="E953" s="48" t="s">
        <v>2504</v>
      </c>
      <c r="F953" s="48" t="s">
        <v>1128</v>
      </c>
      <c r="G953" s="48" t="s">
        <v>2505</v>
      </c>
      <c r="H953" s="48">
        <v>16000</v>
      </c>
    </row>
    <row r="954" spans="5:8" x14ac:dyDescent="0.1">
      <c r="E954" s="48" t="s">
        <v>2506</v>
      </c>
      <c r="F954" s="48" t="s">
        <v>1128</v>
      </c>
      <c r="G954" s="48" t="s">
        <v>2507</v>
      </c>
      <c r="H954" s="48">
        <v>16000</v>
      </c>
    </row>
    <row r="955" spans="5:8" x14ac:dyDescent="0.1">
      <c r="E955" s="48" t="s">
        <v>2508</v>
      </c>
      <c r="F955" s="48" t="s">
        <v>1128</v>
      </c>
      <c r="G955" s="48" t="s">
        <v>2509</v>
      </c>
      <c r="H955" s="48">
        <v>17000</v>
      </c>
    </row>
    <row r="956" spans="5:8" x14ac:dyDescent="0.1">
      <c r="E956" s="48" t="s">
        <v>2510</v>
      </c>
      <c r="F956" s="48" t="s">
        <v>1128</v>
      </c>
      <c r="G956" s="48" t="s">
        <v>2511</v>
      </c>
      <c r="H956" s="48">
        <v>17000</v>
      </c>
    </row>
    <row r="957" spans="5:8" x14ac:dyDescent="0.1">
      <c r="E957" s="48" t="s">
        <v>2512</v>
      </c>
      <c r="F957" s="48" t="s">
        <v>1128</v>
      </c>
      <c r="G957" s="48" t="s">
        <v>2513</v>
      </c>
      <c r="H957" s="48">
        <v>17000</v>
      </c>
    </row>
    <row r="958" spans="5:8" x14ac:dyDescent="0.1">
      <c r="E958" s="48" t="s">
        <v>2514</v>
      </c>
      <c r="F958" s="48" t="s">
        <v>1128</v>
      </c>
      <c r="G958" s="48" t="s">
        <v>2515</v>
      </c>
      <c r="H958" s="48">
        <v>17000</v>
      </c>
    </row>
    <row r="959" spans="5:8" x14ac:dyDescent="0.1">
      <c r="E959" s="48" t="s">
        <v>2516</v>
      </c>
      <c r="F959" s="48" t="s">
        <v>1037</v>
      </c>
      <c r="G959" s="48" t="s">
        <v>1864</v>
      </c>
      <c r="H959" s="48">
        <v>18000</v>
      </c>
    </row>
    <row r="960" spans="5:8" x14ac:dyDescent="0.1">
      <c r="E960" s="48" t="s">
        <v>2517</v>
      </c>
      <c r="F960" s="48" t="s">
        <v>1128</v>
      </c>
      <c r="G960" s="48" t="s">
        <v>2518</v>
      </c>
      <c r="H960" s="48">
        <v>18000</v>
      </c>
    </row>
    <row r="961" spans="5:8" x14ac:dyDescent="0.1">
      <c r="E961" s="48" t="s">
        <v>2519</v>
      </c>
      <c r="F961" s="48" t="s">
        <v>1037</v>
      </c>
      <c r="G961" s="48" t="s">
        <v>1783</v>
      </c>
      <c r="H961" s="48">
        <v>18000</v>
      </c>
    </row>
    <row r="962" spans="5:8" x14ac:dyDescent="0.1">
      <c r="E962" s="48" t="s">
        <v>2520</v>
      </c>
      <c r="F962" s="48" t="s">
        <v>1128</v>
      </c>
      <c r="G962" s="48" t="s">
        <v>2521</v>
      </c>
      <c r="H962" s="48">
        <v>18000</v>
      </c>
    </row>
    <row r="963" spans="5:8" x14ac:dyDescent="0.1">
      <c r="E963" s="48" t="s">
        <v>2522</v>
      </c>
      <c r="F963" s="48" t="s">
        <v>1128</v>
      </c>
      <c r="G963" s="48" t="s">
        <v>2523</v>
      </c>
      <c r="H963" s="48">
        <v>18000</v>
      </c>
    </row>
    <row r="964" spans="5:8" x14ac:dyDescent="0.1">
      <c r="E964" s="48" t="s">
        <v>2524</v>
      </c>
      <c r="F964" s="48" t="s">
        <v>1128</v>
      </c>
      <c r="G964" s="48" t="s">
        <v>2525</v>
      </c>
      <c r="H964" s="48">
        <v>18000</v>
      </c>
    </row>
    <row r="965" spans="5:8" x14ac:dyDescent="0.1">
      <c r="E965" s="48" t="s">
        <v>2526</v>
      </c>
      <c r="F965" s="48" t="s">
        <v>1037</v>
      </c>
      <c r="G965" s="48" t="s">
        <v>1941</v>
      </c>
      <c r="H965" s="48">
        <v>19000</v>
      </c>
    </row>
    <row r="966" spans="5:8" x14ac:dyDescent="0.1">
      <c r="E966" s="48" t="s">
        <v>2527</v>
      </c>
      <c r="F966" s="48" t="s">
        <v>1037</v>
      </c>
      <c r="G966" s="48" t="s">
        <v>1917</v>
      </c>
      <c r="H966" s="48">
        <v>19000</v>
      </c>
    </row>
    <row r="967" spans="5:8" x14ac:dyDescent="0.1">
      <c r="E967" s="48" t="s">
        <v>2528</v>
      </c>
      <c r="F967" s="48" t="s">
        <v>1128</v>
      </c>
      <c r="G967" s="48" t="s">
        <v>2529</v>
      </c>
      <c r="H967" s="48">
        <v>19000</v>
      </c>
    </row>
    <row r="968" spans="5:8" x14ac:dyDescent="0.1">
      <c r="E968" s="48" t="s">
        <v>2530</v>
      </c>
      <c r="F968" s="48" t="s">
        <v>1128</v>
      </c>
      <c r="G968" s="48" t="s">
        <v>2531</v>
      </c>
      <c r="H968" s="48">
        <v>19000</v>
      </c>
    </row>
    <row r="969" spans="5:8" x14ac:dyDescent="0.1">
      <c r="E969" s="48" t="s">
        <v>2532</v>
      </c>
      <c r="F969" s="48" t="s">
        <v>1037</v>
      </c>
      <c r="G969" s="48" t="s">
        <v>1717</v>
      </c>
      <c r="H969" s="48">
        <v>20000</v>
      </c>
    </row>
    <row r="970" spans="5:8" x14ac:dyDescent="0.1">
      <c r="E970" s="48" t="s">
        <v>2533</v>
      </c>
      <c r="F970" s="48" t="s">
        <v>1037</v>
      </c>
      <c r="G970" s="48" t="s">
        <v>1720</v>
      </c>
      <c r="H970" s="48">
        <v>20000</v>
      </c>
    </row>
    <row r="971" spans="5:8" x14ac:dyDescent="0.1">
      <c r="E971" s="48" t="s">
        <v>2534</v>
      </c>
      <c r="F971" s="48" t="s">
        <v>1037</v>
      </c>
      <c r="G971" s="48" t="s">
        <v>1722</v>
      </c>
      <c r="H971" s="48">
        <v>20000</v>
      </c>
    </row>
    <row r="972" spans="5:8" x14ac:dyDescent="0.1">
      <c r="E972" s="48" t="s">
        <v>2535</v>
      </c>
      <c r="F972" s="48" t="s">
        <v>1037</v>
      </c>
      <c r="G972" s="48" t="s">
        <v>1724</v>
      </c>
      <c r="H972" s="48">
        <v>20000</v>
      </c>
    </row>
    <row r="973" spans="5:8" x14ac:dyDescent="0.1">
      <c r="E973" s="48" t="s">
        <v>2536</v>
      </c>
      <c r="F973" s="48" t="s">
        <v>1128</v>
      </c>
      <c r="G973" s="48" t="s">
        <v>2537</v>
      </c>
      <c r="H973" s="48">
        <v>20000</v>
      </c>
    </row>
    <row r="974" spans="5:8" x14ac:dyDescent="0.1">
      <c r="E974" s="48" t="s">
        <v>2538</v>
      </c>
      <c r="F974" s="48" t="s">
        <v>1128</v>
      </c>
      <c r="G974" s="48" t="s">
        <v>2539</v>
      </c>
      <c r="H974" s="48">
        <v>20000</v>
      </c>
    </row>
    <row r="975" spans="5:8" x14ac:dyDescent="0.1">
      <c r="E975" s="48" t="s">
        <v>2540</v>
      </c>
      <c r="F975" s="48" t="s">
        <v>1128</v>
      </c>
      <c r="G975" s="48" t="s">
        <v>2541</v>
      </c>
      <c r="H975" s="48">
        <v>20000</v>
      </c>
    </row>
    <row r="976" spans="5:8" x14ac:dyDescent="0.1">
      <c r="E976" s="48" t="s">
        <v>2542</v>
      </c>
      <c r="F976" s="48" t="s">
        <v>1037</v>
      </c>
      <c r="G976" s="48" t="s">
        <v>2543</v>
      </c>
      <c r="H976" s="48">
        <v>20000</v>
      </c>
    </row>
    <row r="977" spans="5:8" x14ac:dyDescent="0.1">
      <c r="E977" s="48" t="s">
        <v>2544</v>
      </c>
      <c r="F977" s="48" t="s">
        <v>1037</v>
      </c>
      <c r="G977" s="48" t="s">
        <v>2545</v>
      </c>
      <c r="H977" s="48">
        <v>20000</v>
      </c>
    </row>
    <row r="978" spans="5:8" x14ac:dyDescent="0.1">
      <c r="E978" s="48" t="s">
        <v>2546</v>
      </c>
      <c r="F978" s="48" t="s">
        <v>1037</v>
      </c>
      <c r="G978" s="48" t="s">
        <v>2547</v>
      </c>
      <c r="H978" s="48">
        <v>20000</v>
      </c>
    </row>
    <row r="979" spans="5:8" x14ac:dyDescent="0.1">
      <c r="E979" s="48" t="s">
        <v>2548</v>
      </c>
      <c r="F979" s="48" t="s">
        <v>1128</v>
      </c>
      <c r="G979" s="48"/>
      <c r="H979" s="48">
        <v>20000</v>
      </c>
    </row>
    <row r="980" spans="5:8" x14ac:dyDescent="0.1">
      <c r="E980" s="48" t="s">
        <v>2549</v>
      </c>
      <c r="F980" s="48" t="s">
        <v>1128</v>
      </c>
      <c r="G980" s="48" t="s">
        <v>2550</v>
      </c>
      <c r="H980" s="48">
        <v>20000</v>
      </c>
    </row>
    <row r="981" spans="5:8" x14ac:dyDescent="0.1">
      <c r="E981" s="48" t="s">
        <v>2551</v>
      </c>
      <c r="F981" s="48" t="s">
        <v>1128</v>
      </c>
      <c r="G981" s="48" t="s">
        <v>1833</v>
      </c>
      <c r="H981" s="48">
        <v>21000</v>
      </c>
    </row>
    <row r="982" spans="5:8" x14ac:dyDescent="0.1">
      <c r="E982" s="48" t="s">
        <v>2552</v>
      </c>
      <c r="F982" s="48" t="s">
        <v>1128</v>
      </c>
      <c r="G982" s="48" t="s">
        <v>2553</v>
      </c>
      <c r="H982" s="48">
        <v>21000</v>
      </c>
    </row>
    <row r="983" spans="5:8" x14ac:dyDescent="0.1">
      <c r="E983" s="48" t="s">
        <v>2554</v>
      </c>
      <c r="F983" s="48" t="s">
        <v>1037</v>
      </c>
      <c r="G983" s="48" t="s">
        <v>2555</v>
      </c>
      <c r="H983" s="48">
        <v>21000</v>
      </c>
    </row>
    <row r="984" spans="5:8" x14ac:dyDescent="0.1">
      <c r="E984" s="48" t="s">
        <v>2556</v>
      </c>
      <c r="F984" s="48" t="s">
        <v>1128</v>
      </c>
      <c r="G984" s="48" t="s">
        <v>2557</v>
      </c>
      <c r="H984" s="48">
        <v>21000</v>
      </c>
    </row>
    <row r="985" spans="5:8" x14ac:dyDescent="0.1">
      <c r="E985" s="48" t="s">
        <v>2558</v>
      </c>
      <c r="F985" s="48" t="s">
        <v>1128</v>
      </c>
      <c r="G985" s="48" t="s">
        <v>1959</v>
      </c>
      <c r="H985" s="48">
        <v>22000</v>
      </c>
    </row>
    <row r="986" spans="5:8" x14ac:dyDescent="0.1">
      <c r="E986" s="48" t="s">
        <v>2559</v>
      </c>
      <c r="F986" s="48" t="s">
        <v>1037</v>
      </c>
      <c r="G986" s="48" t="s">
        <v>2560</v>
      </c>
      <c r="H986" s="48">
        <v>22000</v>
      </c>
    </row>
    <row r="987" spans="5:8" x14ac:dyDescent="0.1">
      <c r="E987" s="48" t="s">
        <v>2561</v>
      </c>
      <c r="F987" s="48" t="s">
        <v>1128</v>
      </c>
      <c r="G987" s="48" t="s">
        <v>2562</v>
      </c>
      <c r="H987" s="48">
        <v>22000</v>
      </c>
    </row>
    <row r="988" spans="5:8" x14ac:dyDescent="0.1">
      <c r="E988" s="48" t="s">
        <v>2563</v>
      </c>
      <c r="F988" s="48" t="s">
        <v>1128</v>
      </c>
      <c r="G988" s="48" t="s">
        <v>2564</v>
      </c>
      <c r="H988" s="48">
        <v>23000</v>
      </c>
    </row>
    <row r="989" spans="5:8" x14ac:dyDescent="0.1">
      <c r="E989" s="48" t="s">
        <v>2565</v>
      </c>
      <c r="F989" s="48" t="s">
        <v>1128</v>
      </c>
      <c r="G989" s="48" t="s">
        <v>2566</v>
      </c>
      <c r="H989" s="48">
        <v>24000</v>
      </c>
    </row>
    <row r="990" spans="5:8" x14ac:dyDescent="0.1">
      <c r="E990" s="48" t="s">
        <v>2567</v>
      </c>
      <c r="F990" s="48" t="s">
        <v>1128</v>
      </c>
      <c r="G990" s="48" t="s">
        <v>2568</v>
      </c>
      <c r="H990" s="48">
        <v>24000</v>
      </c>
    </row>
    <row r="991" spans="5:8" x14ac:dyDescent="0.1">
      <c r="E991" s="48" t="s">
        <v>2569</v>
      </c>
      <c r="F991" s="48" t="s">
        <v>1128</v>
      </c>
      <c r="G991" s="48" t="s">
        <v>2570</v>
      </c>
      <c r="H991" s="48">
        <v>24000</v>
      </c>
    </row>
    <row r="992" spans="5:8" x14ac:dyDescent="0.1">
      <c r="E992" s="48" t="s">
        <v>2571</v>
      </c>
      <c r="F992" s="48" t="s">
        <v>1128</v>
      </c>
      <c r="G992" s="48" t="s">
        <v>1959</v>
      </c>
      <c r="H992" s="48">
        <v>25000</v>
      </c>
    </row>
    <row r="993" spans="5:8" x14ac:dyDescent="0.1">
      <c r="E993" s="48" t="s">
        <v>2572</v>
      </c>
      <c r="F993" s="48" t="s">
        <v>1128</v>
      </c>
      <c r="G993" s="48" t="s">
        <v>2573</v>
      </c>
      <c r="H993" s="48">
        <v>25000</v>
      </c>
    </row>
    <row r="994" spans="5:8" x14ac:dyDescent="0.1">
      <c r="E994" s="48" t="s">
        <v>2574</v>
      </c>
      <c r="F994" s="48" t="s">
        <v>1037</v>
      </c>
      <c r="G994" s="48" t="s">
        <v>2575</v>
      </c>
      <c r="H994" s="48">
        <v>25000</v>
      </c>
    </row>
    <row r="995" spans="5:8" x14ac:dyDescent="0.1">
      <c r="E995" s="48" t="s">
        <v>2576</v>
      </c>
      <c r="F995" s="48" t="s">
        <v>1128</v>
      </c>
      <c r="G995" s="48" t="s">
        <v>2577</v>
      </c>
      <c r="H995" s="48">
        <v>25000</v>
      </c>
    </row>
    <row r="996" spans="5:8" x14ac:dyDescent="0.1">
      <c r="E996" s="48" t="s">
        <v>2578</v>
      </c>
      <c r="F996" s="48" t="s">
        <v>1037</v>
      </c>
      <c r="G996" s="48" t="s">
        <v>2579</v>
      </c>
      <c r="H996" s="48">
        <v>25000</v>
      </c>
    </row>
    <row r="997" spans="5:8" x14ac:dyDescent="0.1">
      <c r="E997" s="48" t="s">
        <v>2580</v>
      </c>
      <c r="F997" s="48" t="s">
        <v>1128</v>
      </c>
      <c r="G997" s="48" t="s">
        <v>2581</v>
      </c>
      <c r="H997" s="48">
        <v>25000</v>
      </c>
    </row>
    <row r="998" spans="5:8" x14ac:dyDescent="0.1">
      <c r="E998" s="48" t="s">
        <v>2582</v>
      </c>
      <c r="F998" s="48" t="s">
        <v>1128</v>
      </c>
      <c r="G998" s="48" t="s">
        <v>2583</v>
      </c>
      <c r="H998" s="48">
        <v>25000</v>
      </c>
    </row>
    <row r="999" spans="5:8" x14ac:dyDescent="0.1">
      <c r="E999" s="48" t="s">
        <v>2584</v>
      </c>
      <c r="F999" s="48" t="s">
        <v>1037</v>
      </c>
      <c r="G999" s="48" t="s">
        <v>2585</v>
      </c>
      <c r="H999" s="48">
        <v>25000</v>
      </c>
    </row>
    <row r="1000" spans="5:8" x14ac:dyDescent="0.1">
      <c r="E1000" s="48" t="s">
        <v>2586</v>
      </c>
      <c r="F1000" s="48" t="s">
        <v>1128</v>
      </c>
      <c r="G1000" s="48" t="s">
        <v>2587</v>
      </c>
      <c r="H1000" s="48">
        <v>26000</v>
      </c>
    </row>
    <row r="1001" spans="5:8" x14ac:dyDescent="0.1">
      <c r="E1001" s="48" t="s">
        <v>2588</v>
      </c>
      <c r="F1001" s="48" t="s">
        <v>1037</v>
      </c>
      <c r="G1001" s="48" t="s">
        <v>2589</v>
      </c>
      <c r="H1001" s="48">
        <v>26000</v>
      </c>
    </row>
    <row r="1002" spans="5:8" x14ac:dyDescent="0.1">
      <c r="E1002" s="48" t="s">
        <v>2590</v>
      </c>
      <c r="F1002" s="48" t="s">
        <v>1128</v>
      </c>
      <c r="G1002" s="48" t="s">
        <v>2591</v>
      </c>
      <c r="H1002" s="48">
        <v>27000</v>
      </c>
    </row>
    <row r="1003" spans="5:8" x14ac:dyDescent="0.1">
      <c r="E1003" s="48" t="s">
        <v>2592</v>
      </c>
      <c r="F1003" s="48" t="s">
        <v>1128</v>
      </c>
      <c r="G1003" s="48" t="s">
        <v>2593</v>
      </c>
      <c r="H1003" s="48">
        <v>27000</v>
      </c>
    </row>
    <row r="1004" spans="5:8" x14ac:dyDescent="0.1">
      <c r="E1004" s="48" t="s">
        <v>2594</v>
      </c>
      <c r="F1004" s="48" t="s">
        <v>1128</v>
      </c>
      <c r="G1004" s="48" t="s">
        <v>2595</v>
      </c>
      <c r="H1004" s="48">
        <v>27000</v>
      </c>
    </row>
    <row r="1005" spans="5:8" x14ac:dyDescent="0.1">
      <c r="E1005" s="48" t="s">
        <v>2596</v>
      </c>
      <c r="F1005" s="48" t="s">
        <v>1128</v>
      </c>
      <c r="G1005" s="48" t="s">
        <v>2597</v>
      </c>
      <c r="H1005" s="48">
        <v>27500</v>
      </c>
    </row>
    <row r="1006" spans="5:8" x14ac:dyDescent="0.1">
      <c r="E1006" s="48" t="s">
        <v>2598</v>
      </c>
      <c r="F1006" s="48" t="s">
        <v>1037</v>
      </c>
      <c r="G1006" s="48" t="s">
        <v>1828</v>
      </c>
      <c r="H1006" s="48">
        <v>28000</v>
      </c>
    </row>
    <row r="1007" spans="5:8" x14ac:dyDescent="0.1">
      <c r="E1007" s="48" t="s">
        <v>2599</v>
      </c>
      <c r="F1007" s="48" t="s">
        <v>1037</v>
      </c>
      <c r="G1007" s="48" t="s">
        <v>1851</v>
      </c>
      <c r="H1007" s="48">
        <v>28000</v>
      </c>
    </row>
    <row r="1008" spans="5:8" x14ac:dyDescent="0.1">
      <c r="E1008" s="48" t="s">
        <v>2600</v>
      </c>
      <c r="F1008" s="48" t="s">
        <v>1037</v>
      </c>
      <c r="G1008" s="48" t="s">
        <v>2601</v>
      </c>
      <c r="H1008" s="48">
        <v>28000</v>
      </c>
    </row>
    <row r="1009" spans="5:8" x14ac:dyDescent="0.1">
      <c r="E1009" s="48" t="s">
        <v>2602</v>
      </c>
      <c r="F1009" s="48" t="s">
        <v>1037</v>
      </c>
      <c r="G1009" s="48" t="s">
        <v>2603</v>
      </c>
      <c r="H1009" s="48">
        <v>28000</v>
      </c>
    </row>
    <row r="1010" spans="5:8" x14ac:dyDescent="0.1">
      <c r="E1010" s="48" t="s">
        <v>2604</v>
      </c>
      <c r="F1010" s="48" t="s">
        <v>1037</v>
      </c>
      <c r="G1010" s="48" t="s">
        <v>1904</v>
      </c>
      <c r="H1010" s="48">
        <v>29000</v>
      </c>
    </row>
    <row r="1011" spans="5:8" x14ac:dyDescent="0.1">
      <c r="E1011" s="48" t="s">
        <v>2605</v>
      </c>
      <c r="F1011" s="48" t="s">
        <v>1128</v>
      </c>
      <c r="G1011" s="48" t="s">
        <v>2606</v>
      </c>
      <c r="H1011" s="48">
        <v>29000</v>
      </c>
    </row>
    <row r="1012" spans="5:8" x14ac:dyDescent="0.1">
      <c r="E1012" s="48" t="s">
        <v>2607</v>
      </c>
      <c r="F1012" s="48" t="s">
        <v>1128</v>
      </c>
      <c r="G1012" s="48" t="s">
        <v>1849</v>
      </c>
      <c r="H1012" s="48">
        <v>30000</v>
      </c>
    </row>
    <row r="1013" spans="5:8" x14ac:dyDescent="0.1">
      <c r="E1013" s="48" t="s">
        <v>2608</v>
      </c>
      <c r="F1013" s="48" t="s">
        <v>1128</v>
      </c>
      <c r="G1013" s="48" t="s">
        <v>2609</v>
      </c>
      <c r="H1013" s="48">
        <v>30000</v>
      </c>
    </row>
    <row r="1014" spans="5:8" x14ac:dyDescent="0.1">
      <c r="E1014" s="48" t="s">
        <v>2610</v>
      </c>
      <c r="F1014" s="48" t="s">
        <v>1128</v>
      </c>
      <c r="G1014" s="48" t="s">
        <v>2611</v>
      </c>
      <c r="H1014" s="48">
        <v>30000</v>
      </c>
    </row>
    <row r="1015" spans="5:8" x14ac:dyDescent="0.1">
      <c r="E1015" s="48" t="s">
        <v>2612</v>
      </c>
      <c r="F1015" s="48" t="s">
        <v>1128</v>
      </c>
      <c r="G1015" s="48" t="s">
        <v>2613</v>
      </c>
      <c r="H1015" s="48">
        <v>30000</v>
      </c>
    </row>
    <row r="1016" spans="5:8" x14ac:dyDescent="0.1">
      <c r="E1016" s="48" t="s">
        <v>2614</v>
      </c>
      <c r="F1016" s="48" t="s">
        <v>1128</v>
      </c>
      <c r="G1016" s="48" t="s">
        <v>2615</v>
      </c>
      <c r="H1016" s="48">
        <v>30000</v>
      </c>
    </row>
    <row r="1017" spans="5:8" x14ac:dyDescent="0.1">
      <c r="E1017" s="48" t="s">
        <v>2616</v>
      </c>
      <c r="F1017" s="48" t="s">
        <v>1128</v>
      </c>
      <c r="G1017" s="48" t="s">
        <v>2617</v>
      </c>
      <c r="H1017" s="48">
        <v>30000</v>
      </c>
    </row>
    <row r="1018" spans="5:8" x14ac:dyDescent="0.1">
      <c r="E1018" s="48" t="s">
        <v>2618</v>
      </c>
      <c r="F1018" s="48" t="s">
        <v>1037</v>
      </c>
      <c r="G1018" s="48" t="s">
        <v>2619</v>
      </c>
      <c r="H1018" s="48">
        <v>30000</v>
      </c>
    </row>
    <row r="1019" spans="5:8" x14ac:dyDescent="0.1">
      <c r="E1019" s="48" t="s">
        <v>2620</v>
      </c>
      <c r="F1019" s="48" t="s">
        <v>1037</v>
      </c>
      <c r="G1019" s="48" t="s">
        <v>2621</v>
      </c>
      <c r="H1019" s="48">
        <v>30000</v>
      </c>
    </row>
    <row r="1020" spans="5:8" x14ac:dyDescent="0.1">
      <c r="E1020" s="48" t="s">
        <v>2622</v>
      </c>
      <c r="F1020" s="48" t="s">
        <v>1128</v>
      </c>
      <c r="G1020" s="48" t="s">
        <v>2623</v>
      </c>
      <c r="H1020" s="48">
        <v>31000</v>
      </c>
    </row>
    <row r="1021" spans="5:8" x14ac:dyDescent="0.1">
      <c r="E1021" s="48" t="s">
        <v>2624</v>
      </c>
      <c r="F1021" s="48" t="s">
        <v>1128</v>
      </c>
      <c r="G1021" s="48" t="s">
        <v>2625</v>
      </c>
      <c r="H1021" s="48">
        <v>32000</v>
      </c>
    </row>
    <row r="1022" spans="5:8" x14ac:dyDescent="0.1">
      <c r="E1022" s="48" t="s">
        <v>2626</v>
      </c>
      <c r="F1022" s="48" t="s">
        <v>1128</v>
      </c>
      <c r="G1022" s="48" t="s">
        <v>2627</v>
      </c>
      <c r="H1022" s="48">
        <v>32000</v>
      </c>
    </row>
    <row r="1023" spans="5:8" x14ac:dyDescent="0.1">
      <c r="E1023" s="48" t="s">
        <v>2628</v>
      </c>
      <c r="F1023" s="48" t="s">
        <v>1037</v>
      </c>
      <c r="G1023" s="48" t="s">
        <v>2629</v>
      </c>
      <c r="H1023" s="48">
        <v>32000</v>
      </c>
    </row>
    <row r="1024" spans="5:8" x14ac:dyDescent="0.1">
      <c r="E1024" s="48" t="s">
        <v>2630</v>
      </c>
      <c r="F1024" s="48" t="s">
        <v>1037</v>
      </c>
      <c r="G1024" s="48" t="s">
        <v>2631</v>
      </c>
      <c r="H1024" s="48">
        <v>32000</v>
      </c>
    </row>
    <row r="1025" spans="5:8" x14ac:dyDescent="0.1">
      <c r="E1025" s="48" t="s">
        <v>2632</v>
      </c>
      <c r="F1025" s="48" t="s">
        <v>1037</v>
      </c>
      <c r="G1025" s="48" t="s">
        <v>2633</v>
      </c>
      <c r="H1025" s="48">
        <v>32000</v>
      </c>
    </row>
    <row r="1026" spans="5:8" x14ac:dyDescent="0.1">
      <c r="E1026" s="48" t="s">
        <v>2634</v>
      </c>
      <c r="F1026" s="48" t="s">
        <v>1128</v>
      </c>
      <c r="G1026" s="48" t="s">
        <v>2635</v>
      </c>
      <c r="H1026" s="48">
        <v>33000</v>
      </c>
    </row>
    <row r="1027" spans="5:8" x14ac:dyDescent="0.1">
      <c r="E1027" s="48" t="s">
        <v>2636</v>
      </c>
      <c r="F1027" s="48" t="s">
        <v>1128</v>
      </c>
      <c r="G1027" s="48" t="s">
        <v>2637</v>
      </c>
      <c r="H1027" s="48">
        <v>34000</v>
      </c>
    </row>
    <row r="1028" spans="5:8" x14ac:dyDescent="0.1">
      <c r="E1028" s="48" t="s">
        <v>2638</v>
      </c>
      <c r="F1028" s="48" t="s">
        <v>1128</v>
      </c>
      <c r="G1028" s="48" t="s">
        <v>2639</v>
      </c>
      <c r="H1028" s="48">
        <v>34000</v>
      </c>
    </row>
    <row r="1029" spans="5:8" x14ac:dyDescent="0.1">
      <c r="E1029" s="48" t="s">
        <v>2640</v>
      </c>
      <c r="F1029" s="48" t="s">
        <v>1037</v>
      </c>
      <c r="G1029" s="48" t="s">
        <v>2641</v>
      </c>
      <c r="H1029" s="48">
        <v>34000</v>
      </c>
    </row>
    <row r="1030" spans="5:8" x14ac:dyDescent="0.1">
      <c r="E1030" s="48" t="s">
        <v>2642</v>
      </c>
      <c r="F1030" s="48" t="s">
        <v>1128</v>
      </c>
      <c r="G1030" s="48" t="s">
        <v>1906</v>
      </c>
      <c r="H1030" s="48">
        <v>35000</v>
      </c>
    </row>
    <row r="1031" spans="5:8" x14ac:dyDescent="0.1">
      <c r="E1031" s="48" t="s">
        <v>2643</v>
      </c>
      <c r="F1031" s="48" t="s">
        <v>1128</v>
      </c>
      <c r="G1031" s="48" t="s">
        <v>2039</v>
      </c>
      <c r="H1031" s="48">
        <v>35000</v>
      </c>
    </row>
    <row r="1032" spans="5:8" x14ac:dyDescent="0.1">
      <c r="E1032" s="48" t="s">
        <v>2644</v>
      </c>
      <c r="F1032" s="48" t="s">
        <v>1128</v>
      </c>
      <c r="G1032" s="48" t="s">
        <v>2645</v>
      </c>
      <c r="H1032" s="48">
        <v>35000</v>
      </c>
    </row>
    <row r="1033" spans="5:8" x14ac:dyDescent="0.1">
      <c r="E1033" s="48" t="s">
        <v>2646</v>
      </c>
      <c r="F1033" s="48" t="s">
        <v>1128</v>
      </c>
      <c r="G1033" s="48" t="s">
        <v>2647</v>
      </c>
      <c r="H1033" s="48">
        <v>35000</v>
      </c>
    </row>
    <row r="1034" spans="5:8" x14ac:dyDescent="0.1">
      <c r="E1034" s="48" t="s">
        <v>2648</v>
      </c>
      <c r="F1034" s="48" t="s">
        <v>1128</v>
      </c>
      <c r="G1034" s="48" t="s">
        <v>2649</v>
      </c>
      <c r="H1034" s="48">
        <v>35000</v>
      </c>
    </row>
    <row r="1035" spans="5:8" x14ac:dyDescent="0.1">
      <c r="E1035" s="48" t="s">
        <v>2650</v>
      </c>
      <c r="F1035" s="48" t="s">
        <v>1128</v>
      </c>
      <c r="G1035" s="48" t="s">
        <v>2651</v>
      </c>
      <c r="H1035" s="48">
        <v>35000</v>
      </c>
    </row>
    <row r="1036" spans="5:8" x14ac:dyDescent="0.1">
      <c r="E1036" s="48" t="s">
        <v>2652</v>
      </c>
      <c r="F1036" s="48" t="s">
        <v>1128</v>
      </c>
      <c r="G1036" s="48"/>
      <c r="H1036" s="48">
        <v>35000</v>
      </c>
    </row>
    <row r="1037" spans="5:8" x14ac:dyDescent="0.1">
      <c r="E1037" s="48" t="s">
        <v>2653</v>
      </c>
      <c r="F1037" s="48" t="s">
        <v>1128</v>
      </c>
      <c r="G1037" s="48" t="s">
        <v>2654</v>
      </c>
      <c r="H1037" s="48">
        <v>35000</v>
      </c>
    </row>
    <row r="1038" spans="5:8" x14ac:dyDescent="0.1">
      <c r="E1038" s="48" t="s">
        <v>2655</v>
      </c>
      <c r="F1038" s="48" t="s">
        <v>1037</v>
      </c>
      <c r="G1038" s="48" t="s">
        <v>2656</v>
      </c>
      <c r="H1038" s="48">
        <v>36000</v>
      </c>
    </row>
    <row r="1039" spans="5:8" x14ac:dyDescent="0.1">
      <c r="E1039" s="48" t="s">
        <v>2657</v>
      </c>
      <c r="F1039" s="48" t="s">
        <v>1037</v>
      </c>
      <c r="G1039" s="48" t="s">
        <v>2658</v>
      </c>
      <c r="H1039" s="48">
        <v>36000</v>
      </c>
    </row>
    <row r="1040" spans="5:8" x14ac:dyDescent="0.1">
      <c r="E1040" s="48" t="s">
        <v>2659</v>
      </c>
      <c r="F1040" s="48" t="s">
        <v>1128</v>
      </c>
      <c r="G1040" s="48" t="s">
        <v>2660</v>
      </c>
      <c r="H1040" s="48">
        <v>38000</v>
      </c>
    </row>
    <row r="1041" spans="5:8" x14ac:dyDescent="0.1">
      <c r="E1041" s="48" t="s">
        <v>2661</v>
      </c>
      <c r="F1041" s="48" t="s">
        <v>1128</v>
      </c>
      <c r="G1041" s="48" t="s">
        <v>2172</v>
      </c>
      <c r="H1041" s="48">
        <v>40000</v>
      </c>
    </row>
    <row r="1042" spans="5:8" x14ac:dyDescent="0.1">
      <c r="E1042" s="48" t="s">
        <v>2662</v>
      </c>
      <c r="F1042" s="48" t="s">
        <v>1128</v>
      </c>
      <c r="G1042" s="48" t="s">
        <v>2172</v>
      </c>
      <c r="H1042" s="48">
        <v>40000</v>
      </c>
    </row>
    <row r="1043" spans="5:8" x14ac:dyDescent="0.1">
      <c r="E1043" s="48" t="s">
        <v>2663</v>
      </c>
      <c r="F1043" s="48" t="s">
        <v>1128</v>
      </c>
      <c r="G1043" s="48" t="s">
        <v>1943</v>
      </c>
      <c r="H1043" s="48">
        <v>40000</v>
      </c>
    </row>
    <row r="1044" spans="5:8" x14ac:dyDescent="0.1">
      <c r="E1044" s="48" t="s">
        <v>2664</v>
      </c>
      <c r="F1044" s="48" t="s">
        <v>1128</v>
      </c>
      <c r="G1044" s="48" t="s">
        <v>1945</v>
      </c>
      <c r="H1044" s="48">
        <v>40000</v>
      </c>
    </row>
    <row r="1045" spans="5:8" x14ac:dyDescent="0.1">
      <c r="E1045" s="48" t="s">
        <v>2665</v>
      </c>
      <c r="F1045" s="48" t="s">
        <v>1128</v>
      </c>
      <c r="G1045" s="48"/>
      <c r="H1045" s="48">
        <v>40000</v>
      </c>
    </row>
    <row r="1046" spans="5:8" x14ac:dyDescent="0.1">
      <c r="E1046" s="48" t="s">
        <v>2666</v>
      </c>
      <c r="F1046" s="48" t="s">
        <v>1037</v>
      </c>
      <c r="G1046" s="48" t="s">
        <v>2667</v>
      </c>
      <c r="H1046" s="48">
        <v>40000</v>
      </c>
    </row>
    <row r="1047" spans="5:8" x14ac:dyDescent="0.1">
      <c r="E1047" s="48" t="s">
        <v>2668</v>
      </c>
      <c r="F1047" s="48" t="s">
        <v>1128</v>
      </c>
      <c r="G1047" s="48" t="s">
        <v>2669</v>
      </c>
      <c r="H1047" s="48">
        <v>40000</v>
      </c>
    </row>
    <row r="1048" spans="5:8" x14ac:dyDescent="0.1">
      <c r="E1048" s="48" t="s">
        <v>2670</v>
      </c>
      <c r="F1048" s="48" t="s">
        <v>1128</v>
      </c>
      <c r="G1048" s="48" t="s">
        <v>2671</v>
      </c>
      <c r="H1048" s="48">
        <v>40000</v>
      </c>
    </row>
    <row r="1049" spans="5:8" x14ac:dyDescent="0.1">
      <c r="E1049" s="48" t="s">
        <v>2672</v>
      </c>
      <c r="F1049" s="48" t="s">
        <v>1037</v>
      </c>
      <c r="G1049" s="48" t="s">
        <v>2673</v>
      </c>
      <c r="H1049" s="48">
        <v>40000</v>
      </c>
    </row>
    <row r="1050" spans="5:8" x14ac:dyDescent="0.1">
      <c r="E1050" s="48" t="s">
        <v>2674</v>
      </c>
      <c r="F1050" s="48" t="s">
        <v>1128</v>
      </c>
      <c r="G1050" s="48" t="s">
        <v>2675</v>
      </c>
      <c r="H1050" s="48">
        <v>41000</v>
      </c>
    </row>
    <row r="1051" spans="5:8" x14ac:dyDescent="0.1">
      <c r="E1051" s="48" t="s">
        <v>2676</v>
      </c>
      <c r="F1051" s="48" t="s">
        <v>1037</v>
      </c>
      <c r="G1051" s="48" t="s">
        <v>2677</v>
      </c>
      <c r="H1051" s="48">
        <v>41000</v>
      </c>
    </row>
    <row r="1052" spans="5:8" x14ac:dyDescent="0.1">
      <c r="E1052" s="48" t="s">
        <v>2678</v>
      </c>
      <c r="F1052" s="48" t="s">
        <v>1128</v>
      </c>
      <c r="G1052" s="48" t="s">
        <v>2679</v>
      </c>
      <c r="H1052" s="48">
        <v>42000</v>
      </c>
    </row>
    <row r="1053" spans="5:8" x14ac:dyDescent="0.1">
      <c r="E1053" s="48" t="s">
        <v>2680</v>
      </c>
      <c r="F1053" s="48" t="s">
        <v>1128</v>
      </c>
      <c r="G1053" s="48" t="s">
        <v>2681</v>
      </c>
      <c r="H1053" s="48">
        <v>43000</v>
      </c>
    </row>
    <row r="1054" spans="5:8" x14ac:dyDescent="0.1">
      <c r="E1054" s="48" t="s">
        <v>2682</v>
      </c>
      <c r="F1054" s="48" t="s">
        <v>1128</v>
      </c>
      <c r="G1054" s="48" t="s">
        <v>2683</v>
      </c>
      <c r="H1054" s="48">
        <v>44000</v>
      </c>
    </row>
    <row r="1055" spans="5:8" x14ac:dyDescent="0.1">
      <c r="E1055" s="48" t="s">
        <v>2684</v>
      </c>
      <c r="F1055" s="48" t="s">
        <v>1128</v>
      </c>
      <c r="G1055" s="48" t="s">
        <v>2685</v>
      </c>
      <c r="H1055" s="48">
        <v>44000</v>
      </c>
    </row>
    <row r="1056" spans="5:8" x14ac:dyDescent="0.1">
      <c r="E1056" s="48" t="s">
        <v>2686</v>
      </c>
      <c r="F1056" s="48" t="s">
        <v>1128</v>
      </c>
      <c r="G1056" s="48" t="s">
        <v>2687</v>
      </c>
      <c r="H1056" s="48">
        <v>44444</v>
      </c>
    </row>
    <row r="1057" spans="5:8" x14ac:dyDescent="0.1">
      <c r="E1057" s="48" t="s">
        <v>2688</v>
      </c>
      <c r="F1057" s="48" t="s">
        <v>1128</v>
      </c>
      <c r="G1057" s="48"/>
      <c r="H1057" s="48">
        <v>45000</v>
      </c>
    </row>
    <row r="1058" spans="5:8" x14ac:dyDescent="0.1">
      <c r="E1058" s="48" t="s">
        <v>2689</v>
      </c>
      <c r="F1058" s="48" t="s">
        <v>1128</v>
      </c>
      <c r="G1058" s="48" t="s">
        <v>2690</v>
      </c>
      <c r="H1058" s="48">
        <v>45000</v>
      </c>
    </row>
    <row r="1059" spans="5:8" x14ac:dyDescent="0.1">
      <c r="E1059" s="48" t="s">
        <v>2691</v>
      </c>
      <c r="F1059" s="48" t="s">
        <v>1128</v>
      </c>
      <c r="G1059" s="48" t="s">
        <v>2692</v>
      </c>
      <c r="H1059" s="48">
        <v>45000</v>
      </c>
    </row>
    <row r="1060" spans="5:8" x14ac:dyDescent="0.1">
      <c r="E1060" s="48" t="s">
        <v>2693</v>
      </c>
      <c r="F1060" s="48" t="s">
        <v>1128</v>
      </c>
      <c r="G1060" s="48" t="s">
        <v>2694</v>
      </c>
      <c r="H1060" s="48">
        <v>45000</v>
      </c>
    </row>
    <row r="1061" spans="5:8" x14ac:dyDescent="0.1">
      <c r="E1061" s="48" t="s">
        <v>2695</v>
      </c>
      <c r="F1061" s="48" t="s">
        <v>1128</v>
      </c>
      <c r="G1061" s="48" t="s">
        <v>2696</v>
      </c>
      <c r="H1061" s="48">
        <v>45000</v>
      </c>
    </row>
    <row r="1062" spans="5:8" x14ac:dyDescent="0.1">
      <c r="E1062" s="48" t="s">
        <v>2697</v>
      </c>
      <c r="F1062" s="48" t="s">
        <v>1128</v>
      </c>
      <c r="G1062" s="48"/>
      <c r="H1062" s="48">
        <v>46000</v>
      </c>
    </row>
    <row r="1063" spans="5:8" x14ac:dyDescent="0.1">
      <c r="E1063" s="48" t="s">
        <v>2698</v>
      </c>
      <c r="F1063" s="48" t="s">
        <v>1128</v>
      </c>
      <c r="G1063" s="48" t="s">
        <v>2699</v>
      </c>
      <c r="H1063" s="48">
        <v>47000</v>
      </c>
    </row>
    <row r="1064" spans="5:8" x14ac:dyDescent="0.1">
      <c r="E1064" s="48" t="s">
        <v>2700</v>
      </c>
      <c r="F1064" s="48" t="s">
        <v>1128</v>
      </c>
      <c r="G1064" s="48" t="s">
        <v>2701</v>
      </c>
      <c r="H1064" s="48">
        <v>48000</v>
      </c>
    </row>
    <row r="1065" spans="5:8" x14ac:dyDescent="0.1">
      <c r="E1065" s="48" t="s">
        <v>2702</v>
      </c>
      <c r="F1065" s="48" t="s">
        <v>1128</v>
      </c>
      <c r="G1065" s="48" t="s">
        <v>2703</v>
      </c>
      <c r="H1065" s="48">
        <v>48000</v>
      </c>
    </row>
    <row r="1066" spans="5:8" x14ac:dyDescent="0.1">
      <c r="E1066" s="48" t="s">
        <v>2704</v>
      </c>
      <c r="F1066" s="48" t="s">
        <v>1128</v>
      </c>
      <c r="G1066" s="48" t="s">
        <v>2705</v>
      </c>
      <c r="H1066" s="48">
        <v>48000</v>
      </c>
    </row>
    <row r="1067" spans="5:8" x14ac:dyDescent="0.1">
      <c r="E1067" s="48" t="s">
        <v>2706</v>
      </c>
      <c r="F1067" s="48" t="s">
        <v>1128</v>
      </c>
      <c r="G1067" s="48" t="s">
        <v>2707</v>
      </c>
      <c r="H1067" s="48">
        <v>48000</v>
      </c>
    </row>
    <row r="1068" spans="5:8" x14ac:dyDescent="0.1">
      <c r="E1068" s="48" t="s">
        <v>2708</v>
      </c>
      <c r="F1068" s="48" t="s">
        <v>1128</v>
      </c>
      <c r="G1068" s="48"/>
      <c r="H1068" s="48">
        <v>48000</v>
      </c>
    </row>
    <row r="1069" spans="5:8" x14ac:dyDescent="0.1">
      <c r="E1069" s="48" t="s">
        <v>2709</v>
      </c>
      <c r="F1069" s="48" t="s">
        <v>1128</v>
      </c>
      <c r="G1069" s="48" t="s">
        <v>2710</v>
      </c>
      <c r="H1069" s="48">
        <v>49000</v>
      </c>
    </row>
    <row r="1070" spans="5:8" x14ac:dyDescent="0.1">
      <c r="E1070" s="48" t="s">
        <v>2711</v>
      </c>
      <c r="F1070" s="48" t="s">
        <v>1128</v>
      </c>
      <c r="G1070" s="48"/>
      <c r="H1070" s="48">
        <v>50000</v>
      </c>
    </row>
    <row r="1071" spans="5:8" x14ac:dyDescent="0.1">
      <c r="E1071" s="48" t="s">
        <v>2712</v>
      </c>
      <c r="F1071" s="48" t="s">
        <v>1128</v>
      </c>
      <c r="G1071" s="48"/>
      <c r="H1071" s="48">
        <v>50000</v>
      </c>
    </row>
    <row r="1072" spans="5:8" x14ac:dyDescent="0.1">
      <c r="E1072" s="48" t="s">
        <v>2713</v>
      </c>
      <c r="F1072" s="48" t="s">
        <v>1128</v>
      </c>
      <c r="G1072" s="48" t="s">
        <v>2714</v>
      </c>
      <c r="H1072" s="48">
        <v>55000</v>
      </c>
    </row>
    <row r="1073" spans="5:8" x14ac:dyDescent="0.1">
      <c r="E1073" s="48" t="s">
        <v>2715</v>
      </c>
      <c r="F1073" s="48" t="s">
        <v>1128</v>
      </c>
      <c r="G1073" s="48" t="s">
        <v>2716</v>
      </c>
      <c r="H1073" s="48">
        <v>55000</v>
      </c>
    </row>
    <row r="1074" spans="5:8" x14ac:dyDescent="0.1">
      <c r="E1074" s="48" t="s">
        <v>2717</v>
      </c>
      <c r="F1074" s="48" t="s">
        <v>1128</v>
      </c>
      <c r="G1074" s="48" t="s">
        <v>2718</v>
      </c>
      <c r="H1074" s="48">
        <v>55000</v>
      </c>
    </row>
    <row r="1075" spans="5:8" x14ac:dyDescent="0.1">
      <c r="E1075" s="48" t="s">
        <v>2719</v>
      </c>
      <c r="F1075" s="48" t="s">
        <v>1128</v>
      </c>
      <c r="G1075" s="48" t="s">
        <v>2720</v>
      </c>
      <c r="H1075" s="48">
        <v>55000</v>
      </c>
    </row>
    <row r="1076" spans="5:8" x14ac:dyDescent="0.1">
      <c r="E1076" s="48" t="s">
        <v>2721</v>
      </c>
      <c r="F1076" s="48" t="s">
        <v>1128</v>
      </c>
      <c r="G1076" s="48" t="s">
        <v>2722</v>
      </c>
      <c r="H1076" s="48">
        <v>60000</v>
      </c>
    </row>
    <row r="1077" spans="5:8" x14ac:dyDescent="0.1">
      <c r="E1077" s="48" t="s">
        <v>2723</v>
      </c>
      <c r="F1077" s="48" t="s">
        <v>1128</v>
      </c>
      <c r="G1077" s="48" t="s">
        <v>2724</v>
      </c>
      <c r="H1077" s="48">
        <v>60000</v>
      </c>
    </row>
    <row r="1078" spans="5:8" x14ac:dyDescent="0.1">
      <c r="E1078" s="48" t="s">
        <v>2725</v>
      </c>
      <c r="F1078" s="48" t="s">
        <v>1128</v>
      </c>
      <c r="G1078" s="48" t="s">
        <v>2726</v>
      </c>
      <c r="H1078" s="48">
        <v>60000</v>
      </c>
    </row>
    <row r="1079" spans="5:8" x14ac:dyDescent="0.1">
      <c r="E1079" s="48" t="s">
        <v>2727</v>
      </c>
      <c r="F1079" s="48" t="s">
        <v>1037</v>
      </c>
      <c r="G1079" s="48" t="s">
        <v>2728</v>
      </c>
      <c r="H1079" s="48">
        <v>60000</v>
      </c>
    </row>
    <row r="1080" spans="5:8" x14ac:dyDescent="0.1">
      <c r="E1080" s="48" t="s">
        <v>2729</v>
      </c>
      <c r="F1080" s="48" t="s">
        <v>1128</v>
      </c>
      <c r="G1080" s="48" t="s">
        <v>2730</v>
      </c>
      <c r="H1080" s="48">
        <v>65000</v>
      </c>
    </row>
    <row r="1081" spans="5:8" x14ac:dyDescent="0.1">
      <c r="E1081" s="48" t="s">
        <v>2731</v>
      </c>
      <c r="F1081" s="48" t="s">
        <v>1128</v>
      </c>
      <c r="G1081" s="48" t="s">
        <v>2732</v>
      </c>
      <c r="H1081" s="48">
        <v>66000</v>
      </c>
    </row>
    <row r="1082" spans="5:8" x14ac:dyDescent="0.1">
      <c r="E1082" s="48" t="s">
        <v>2733</v>
      </c>
      <c r="F1082" s="48" t="s">
        <v>1128</v>
      </c>
      <c r="G1082" s="48"/>
      <c r="H1082" s="48">
        <v>66600</v>
      </c>
    </row>
    <row r="1083" spans="5:8" x14ac:dyDescent="0.1">
      <c r="E1083" s="48" t="s">
        <v>2734</v>
      </c>
      <c r="F1083" s="48" t="s">
        <v>1128</v>
      </c>
      <c r="G1083" s="48"/>
      <c r="H1083" s="48">
        <v>67000</v>
      </c>
    </row>
    <row r="1084" spans="5:8" x14ac:dyDescent="0.1">
      <c r="E1084" s="48" t="s">
        <v>2735</v>
      </c>
      <c r="F1084" s="48" t="s">
        <v>1128</v>
      </c>
      <c r="G1084" s="48" t="s">
        <v>1833</v>
      </c>
      <c r="H1084" s="48">
        <v>68000</v>
      </c>
    </row>
    <row r="1085" spans="5:8" x14ac:dyDescent="0.1">
      <c r="E1085" s="48" t="s">
        <v>2736</v>
      </c>
      <c r="F1085" s="48" t="s">
        <v>1128</v>
      </c>
      <c r="G1085" s="48" t="s">
        <v>2737</v>
      </c>
      <c r="H1085" s="48">
        <v>68000</v>
      </c>
    </row>
    <row r="1086" spans="5:8" x14ac:dyDescent="0.1">
      <c r="E1086" s="48" t="s">
        <v>2738</v>
      </c>
      <c r="F1086" s="48" t="s">
        <v>1128</v>
      </c>
      <c r="G1086" s="48" t="s">
        <v>2739</v>
      </c>
      <c r="H1086" s="48">
        <v>70000</v>
      </c>
    </row>
    <row r="1087" spans="5:8" x14ac:dyDescent="0.1">
      <c r="E1087" s="48" t="s">
        <v>2740</v>
      </c>
      <c r="F1087" s="48" t="s">
        <v>1128</v>
      </c>
      <c r="G1087" s="48"/>
      <c r="H1087" s="48">
        <v>70000</v>
      </c>
    </row>
    <row r="1088" spans="5:8" x14ac:dyDescent="0.1">
      <c r="E1088" s="48" t="s">
        <v>2741</v>
      </c>
      <c r="F1088" s="48" t="s">
        <v>1128</v>
      </c>
      <c r="G1088" s="48"/>
      <c r="H1088" s="48">
        <v>70000</v>
      </c>
    </row>
    <row r="1089" spans="5:8" x14ac:dyDescent="0.1">
      <c r="E1089" s="48" t="s">
        <v>2742</v>
      </c>
      <c r="F1089" s="48" t="s">
        <v>1128</v>
      </c>
      <c r="G1089" s="48"/>
      <c r="H1089" s="48">
        <v>70000</v>
      </c>
    </row>
    <row r="1090" spans="5:8" x14ac:dyDescent="0.1">
      <c r="E1090" s="48" t="s">
        <v>2743</v>
      </c>
      <c r="F1090" s="48" t="s">
        <v>1128</v>
      </c>
      <c r="G1090" s="48" t="s">
        <v>2744</v>
      </c>
      <c r="H1090" s="48">
        <v>70000</v>
      </c>
    </row>
    <row r="1091" spans="5:8" x14ac:dyDescent="0.1">
      <c r="E1091" s="48" t="s">
        <v>2745</v>
      </c>
      <c r="F1091" s="48" t="s">
        <v>1128</v>
      </c>
      <c r="G1091" s="48"/>
      <c r="H1091" s="48">
        <v>70000</v>
      </c>
    </row>
    <row r="1092" spans="5:8" x14ac:dyDescent="0.1">
      <c r="E1092" s="48" t="s">
        <v>2746</v>
      </c>
      <c r="F1092" s="48" t="s">
        <v>1037</v>
      </c>
      <c r="G1092" s="48" t="s">
        <v>2747</v>
      </c>
      <c r="H1092" s="48">
        <v>72000</v>
      </c>
    </row>
    <row r="1093" spans="5:8" x14ac:dyDescent="0.1">
      <c r="E1093" s="48" t="s">
        <v>2748</v>
      </c>
      <c r="F1093" s="48" t="s">
        <v>1128</v>
      </c>
      <c r="G1093" s="48"/>
      <c r="H1093" s="48">
        <v>75000</v>
      </c>
    </row>
    <row r="1094" spans="5:8" x14ac:dyDescent="0.1">
      <c r="E1094" s="48" t="s">
        <v>2749</v>
      </c>
      <c r="F1094" s="48" t="s">
        <v>1128</v>
      </c>
      <c r="G1094" s="48" t="s">
        <v>2750</v>
      </c>
      <c r="H1094" s="48">
        <v>75000</v>
      </c>
    </row>
    <row r="1095" spans="5:8" x14ac:dyDescent="0.1">
      <c r="E1095" s="48" t="s">
        <v>2751</v>
      </c>
      <c r="F1095" s="48" t="s">
        <v>1128</v>
      </c>
      <c r="G1095" s="48" t="s">
        <v>2752</v>
      </c>
      <c r="H1095" s="48">
        <v>80000</v>
      </c>
    </row>
    <row r="1096" spans="5:8" x14ac:dyDescent="0.1">
      <c r="E1096" s="48" t="s">
        <v>2753</v>
      </c>
      <c r="F1096" s="48" t="s">
        <v>1128</v>
      </c>
      <c r="G1096" s="48" t="s">
        <v>2754</v>
      </c>
      <c r="H1096" s="48">
        <v>80000</v>
      </c>
    </row>
    <row r="1097" spans="5:8" x14ac:dyDescent="0.1">
      <c r="E1097" s="48" t="s">
        <v>2755</v>
      </c>
      <c r="F1097" s="48" t="s">
        <v>1128</v>
      </c>
      <c r="G1097" s="48"/>
      <c r="H1097" s="48">
        <v>80000</v>
      </c>
    </row>
    <row r="1098" spans="5:8" x14ac:dyDescent="0.1">
      <c r="E1098" s="48" t="s">
        <v>2756</v>
      </c>
      <c r="F1098" s="48" t="s">
        <v>1128</v>
      </c>
      <c r="G1098" s="48"/>
      <c r="H1098" s="48">
        <v>80000</v>
      </c>
    </row>
    <row r="1099" spans="5:8" x14ac:dyDescent="0.1">
      <c r="E1099" s="48" t="s">
        <v>2757</v>
      </c>
      <c r="F1099" s="48" t="s">
        <v>1128</v>
      </c>
      <c r="G1099" s="48" t="s">
        <v>2172</v>
      </c>
      <c r="H1099" s="48">
        <v>90000</v>
      </c>
    </row>
    <row r="1100" spans="5:8" x14ac:dyDescent="0.1">
      <c r="E1100" s="48" t="s">
        <v>2758</v>
      </c>
      <c r="F1100" s="48" t="s">
        <v>1128</v>
      </c>
      <c r="G1100" s="48" t="s">
        <v>2172</v>
      </c>
      <c r="H1100" s="48">
        <v>90000</v>
      </c>
    </row>
    <row r="1101" spans="5:8" x14ac:dyDescent="0.1">
      <c r="E1101" s="48" t="s">
        <v>2759</v>
      </c>
      <c r="F1101" s="48" t="s">
        <v>1128</v>
      </c>
      <c r="G1101" s="48" t="s">
        <v>2760</v>
      </c>
      <c r="H1101" s="48">
        <v>92000</v>
      </c>
    </row>
    <row r="1102" spans="5:8" x14ac:dyDescent="0.1">
      <c r="E1102" s="48" t="s">
        <v>2761</v>
      </c>
      <c r="F1102" s="48" t="s">
        <v>1128</v>
      </c>
      <c r="G1102" s="48" t="s">
        <v>1833</v>
      </c>
      <c r="H1102" s="48">
        <v>96000</v>
      </c>
    </row>
    <row r="1103" spans="5:8" x14ac:dyDescent="0.1">
      <c r="E1103" s="48" t="s">
        <v>2762</v>
      </c>
      <c r="F1103" s="48" t="s">
        <v>1037</v>
      </c>
      <c r="G1103" s="48" t="s">
        <v>2763</v>
      </c>
      <c r="H1103" s="48">
        <v>98000</v>
      </c>
    </row>
    <row r="1104" spans="5:8" x14ac:dyDescent="0.1">
      <c r="E1104" s="48" t="s">
        <v>2764</v>
      </c>
      <c r="F1104" s="48" t="s">
        <v>1128</v>
      </c>
      <c r="G1104" s="48" t="s">
        <v>2765</v>
      </c>
      <c r="H1104" s="48">
        <v>100000</v>
      </c>
    </row>
    <row r="1105" spans="5:8" x14ac:dyDescent="0.1">
      <c r="E1105" s="48" t="s">
        <v>2766</v>
      </c>
      <c r="F1105" s="48" t="s">
        <v>1128</v>
      </c>
      <c r="G1105" s="48"/>
      <c r="H1105" s="48">
        <v>100000</v>
      </c>
    </row>
    <row r="1106" spans="5:8" x14ac:dyDescent="0.1">
      <c r="E1106" s="48" t="s">
        <v>2767</v>
      </c>
      <c r="F1106" s="48" t="s">
        <v>1128</v>
      </c>
      <c r="G1106" s="48"/>
      <c r="H1106" s="48">
        <v>100000</v>
      </c>
    </row>
    <row r="1107" spans="5:8" x14ac:dyDescent="0.1">
      <c r="E1107" s="48" t="s">
        <v>2768</v>
      </c>
      <c r="F1107" s="48" t="s">
        <v>1128</v>
      </c>
      <c r="G1107" s="48"/>
      <c r="H1107" s="48">
        <v>100000</v>
      </c>
    </row>
    <row r="1108" spans="5:8" x14ac:dyDescent="0.1">
      <c r="E1108" s="48" t="s">
        <v>2769</v>
      </c>
      <c r="F1108" s="48" t="s">
        <v>1128</v>
      </c>
      <c r="G1108" s="48" t="s">
        <v>2770</v>
      </c>
      <c r="H1108" s="48">
        <v>105000</v>
      </c>
    </row>
    <row r="1109" spans="5:8" x14ac:dyDescent="0.1">
      <c r="E1109" s="48" t="s">
        <v>63</v>
      </c>
      <c r="F1109" s="48" t="s">
        <v>1037</v>
      </c>
      <c r="G1109" s="48" t="s">
        <v>2771</v>
      </c>
      <c r="H1109" s="48">
        <v>105000</v>
      </c>
    </row>
    <row r="1110" spans="5:8" x14ac:dyDescent="0.1">
      <c r="E1110" s="48" t="s">
        <v>2772</v>
      </c>
      <c r="F1110" s="48" t="s">
        <v>1128</v>
      </c>
      <c r="G1110" s="48"/>
      <c r="H1110" s="48">
        <v>110000</v>
      </c>
    </row>
    <row r="1111" spans="5:8" x14ac:dyDescent="0.1">
      <c r="E1111" s="48" t="s">
        <v>2773</v>
      </c>
      <c r="F1111" s="48" t="s">
        <v>1128</v>
      </c>
      <c r="G1111" s="48" t="s">
        <v>2774</v>
      </c>
      <c r="H1111" s="48">
        <v>120000</v>
      </c>
    </row>
    <row r="1112" spans="5:8" x14ac:dyDescent="0.1">
      <c r="E1112" s="48" t="s">
        <v>2775</v>
      </c>
      <c r="F1112" s="48" t="s">
        <v>1128</v>
      </c>
      <c r="G1112" s="48" t="s">
        <v>2776</v>
      </c>
      <c r="H1112" s="48">
        <v>130000</v>
      </c>
    </row>
    <row r="1113" spans="5:8" x14ac:dyDescent="0.1">
      <c r="E1113" s="48" t="s">
        <v>2777</v>
      </c>
      <c r="F1113" s="48" t="s">
        <v>1128</v>
      </c>
      <c r="G1113" s="48" t="s">
        <v>2778</v>
      </c>
      <c r="H1113" s="48">
        <v>131400</v>
      </c>
    </row>
    <row r="1114" spans="5:8" x14ac:dyDescent="0.1">
      <c r="E1114" s="48" t="s">
        <v>2779</v>
      </c>
      <c r="F1114" s="48" t="s">
        <v>1128</v>
      </c>
      <c r="G1114" s="48"/>
      <c r="H1114" s="48">
        <v>138000</v>
      </c>
    </row>
    <row r="1115" spans="5:8" x14ac:dyDescent="0.1">
      <c r="E1115" s="48" t="s">
        <v>2780</v>
      </c>
      <c r="F1115" s="48" t="s">
        <v>1128</v>
      </c>
      <c r="G1115" s="48" t="s">
        <v>2781</v>
      </c>
      <c r="H1115" s="48">
        <v>140000</v>
      </c>
    </row>
    <row r="1116" spans="5:8" x14ac:dyDescent="0.1">
      <c r="E1116" s="48" t="s">
        <v>2782</v>
      </c>
      <c r="F1116" s="48" t="s">
        <v>1128</v>
      </c>
      <c r="G1116" s="48" t="s">
        <v>2783</v>
      </c>
      <c r="H1116" s="48">
        <v>150000</v>
      </c>
    </row>
    <row r="1117" spans="5:8" x14ac:dyDescent="0.1">
      <c r="E1117" s="48" t="s">
        <v>2784</v>
      </c>
      <c r="F1117" s="48" t="s">
        <v>1128</v>
      </c>
      <c r="G1117" s="48" t="s">
        <v>2785</v>
      </c>
      <c r="H1117" s="48">
        <v>165000</v>
      </c>
    </row>
    <row r="1118" spans="5:8" x14ac:dyDescent="0.1">
      <c r="E1118" s="48" t="s">
        <v>2786</v>
      </c>
      <c r="F1118" s="48" t="s">
        <v>1128</v>
      </c>
      <c r="G1118" s="48"/>
      <c r="H1118" s="48">
        <v>180000</v>
      </c>
    </row>
    <row r="1119" spans="5:8" x14ac:dyDescent="0.1">
      <c r="E1119" s="48" t="s">
        <v>2787</v>
      </c>
      <c r="F1119" s="48" t="s">
        <v>1037</v>
      </c>
      <c r="G1119" s="48" t="s">
        <v>2788</v>
      </c>
      <c r="H1119" s="48"/>
    </row>
    <row r="1120" spans="5:8" x14ac:dyDescent="0.1">
      <c r="E1120" s="48" t="s">
        <v>2789</v>
      </c>
      <c r="F1120" s="48" t="s">
        <v>1128</v>
      </c>
      <c r="G1120" s="48" t="s">
        <v>2790</v>
      </c>
      <c r="H1120" s="48"/>
    </row>
    <row r="1121" spans="5:8" x14ac:dyDescent="0.1">
      <c r="E1121" s="48" t="s">
        <v>2791</v>
      </c>
      <c r="F1121" s="48" t="s">
        <v>1128</v>
      </c>
      <c r="G1121" s="48" t="s">
        <v>2792</v>
      </c>
      <c r="H1121" s="48"/>
    </row>
    <row r="1122" spans="5:8" x14ac:dyDescent="0.1">
      <c r="E1122" s="48" t="s">
        <v>2793</v>
      </c>
      <c r="F1122" s="48" t="s">
        <v>1128</v>
      </c>
      <c r="G1122" s="48"/>
      <c r="H1122" s="48"/>
    </row>
    <row r="1123" spans="5:8" x14ac:dyDescent="0.1">
      <c r="E1123" s="48" t="s">
        <v>2794</v>
      </c>
      <c r="F1123" s="48" t="s">
        <v>1128</v>
      </c>
      <c r="G1123" s="48"/>
      <c r="H1123" s="48"/>
    </row>
    <row r="1124" spans="5:8" x14ac:dyDescent="0.1">
      <c r="E1124" s="48" t="s">
        <v>2795</v>
      </c>
      <c r="F1124" s="48" t="s">
        <v>1037</v>
      </c>
      <c r="G1124" s="48" t="s">
        <v>2796</v>
      </c>
      <c r="H1124" s="48"/>
    </row>
    <row r="1125" spans="5:8" x14ac:dyDescent="0.1">
      <c r="E1125" s="48" t="s">
        <v>2797</v>
      </c>
      <c r="F1125" s="48" t="s">
        <v>1037</v>
      </c>
      <c r="G1125" s="48" t="s">
        <v>2798</v>
      </c>
      <c r="H1125" s="48"/>
    </row>
    <row r="1126" spans="5:8" x14ac:dyDescent="0.1">
      <c r="E1126" s="48" t="s">
        <v>2799</v>
      </c>
      <c r="F1126" s="48" t="s">
        <v>1037</v>
      </c>
      <c r="G1126" s="48" t="s">
        <v>2800</v>
      </c>
      <c r="H1126" s="48"/>
    </row>
    <row r="1127" spans="5:8" x14ac:dyDescent="0.1">
      <c r="E1127" s="48" t="s">
        <v>2801</v>
      </c>
      <c r="F1127" s="48" t="s">
        <v>1037</v>
      </c>
      <c r="G1127" s="48" t="s">
        <v>2802</v>
      </c>
      <c r="H1127" s="48"/>
    </row>
    <row r="1128" spans="5:8" x14ac:dyDescent="0.1">
      <c r="E1128" s="48" t="s">
        <v>2803</v>
      </c>
      <c r="F1128" s="48" t="s">
        <v>1037</v>
      </c>
      <c r="G1128" s="48" t="s">
        <v>2804</v>
      </c>
      <c r="H1128" s="48"/>
    </row>
    <row r="1129" spans="5:8" x14ac:dyDescent="0.1">
      <c r="E1129" s="48" t="s">
        <v>2805</v>
      </c>
      <c r="F1129" s="48" t="s">
        <v>1037</v>
      </c>
      <c r="G1129" s="48" t="s">
        <v>2806</v>
      </c>
      <c r="H1129" s="48"/>
    </row>
    <row r="1130" spans="5:8" x14ac:dyDescent="0.1">
      <c r="E1130" s="48" t="s">
        <v>2807</v>
      </c>
      <c r="F1130" s="48" t="s">
        <v>1128</v>
      </c>
      <c r="G1130" s="48" t="s">
        <v>2808</v>
      </c>
      <c r="H1130" s="48"/>
    </row>
    <row r="1131" spans="5:8" x14ac:dyDescent="0.1">
      <c r="E1131" s="48" t="s">
        <v>2809</v>
      </c>
      <c r="F1131" s="48" t="s">
        <v>1037</v>
      </c>
      <c r="G1131" s="48" t="s">
        <v>2810</v>
      </c>
      <c r="H1131" s="48"/>
    </row>
    <row r="1132" spans="5:8" x14ac:dyDescent="0.1">
      <c r="E1132" s="48" t="s">
        <v>2811</v>
      </c>
      <c r="F1132" s="48" t="s">
        <v>1128</v>
      </c>
      <c r="G1132" s="48" t="s">
        <v>2812</v>
      </c>
      <c r="H1132" s="48"/>
    </row>
    <row r="1133" spans="5:8" x14ac:dyDescent="0.1">
      <c r="E1133" s="48" t="s">
        <v>2813</v>
      </c>
      <c r="F1133" s="48" t="s">
        <v>1037</v>
      </c>
      <c r="G1133" s="48" t="s">
        <v>2814</v>
      </c>
      <c r="H1133" s="48"/>
    </row>
    <row r="1134" spans="5:8" x14ac:dyDescent="0.1">
      <c r="E1134" s="48" t="s">
        <v>2815</v>
      </c>
      <c r="F1134" s="48" t="s">
        <v>1037</v>
      </c>
      <c r="G1134" s="48" t="s">
        <v>2816</v>
      </c>
      <c r="H1134" s="48"/>
    </row>
    <row r="1135" spans="5:8" x14ac:dyDescent="0.1">
      <c r="E1135" s="48" t="s">
        <v>2817</v>
      </c>
      <c r="F1135" s="48" t="s">
        <v>1128</v>
      </c>
      <c r="G1135" s="48" t="s">
        <v>2818</v>
      </c>
      <c r="H1135" s="48"/>
    </row>
    <row r="1136" spans="5:8" x14ac:dyDescent="0.1">
      <c r="E1136" s="48" t="s">
        <v>2819</v>
      </c>
      <c r="F1136" s="48" t="s">
        <v>1037</v>
      </c>
      <c r="G1136" s="48" t="s">
        <v>2820</v>
      </c>
      <c r="H1136" s="48"/>
    </row>
    <row r="1137" spans="5:8" x14ac:dyDescent="0.1">
      <c r="E1137" s="48" t="s">
        <v>2821</v>
      </c>
      <c r="F1137" s="48" t="s">
        <v>1037</v>
      </c>
      <c r="G1137" s="48" t="s">
        <v>2822</v>
      </c>
      <c r="H1137" s="48"/>
    </row>
    <row r="1138" spans="5:8" x14ac:dyDescent="0.1">
      <c r="E1138" s="48" t="s">
        <v>2823</v>
      </c>
      <c r="F1138" s="48" t="s">
        <v>1037</v>
      </c>
      <c r="G1138" s="48" t="s">
        <v>2824</v>
      </c>
      <c r="H1138" s="48"/>
    </row>
    <row r="1139" spans="5:8" x14ac:dyDescent="0.1">
      <c r="E1139" s="48" t="s">
        <v>2825</v>
      </c>
      <c r="F1139" s="48" t="s">
        <v>1128</v>
      </c>
      <c r="G1139" s="48" t="s">
        <v>2826</v>
      </c>
      <c r="H1139" s="48"/>
    </row>
  </sheetData>
  <mergeCells count="266">
    <mergeCell ref="B300:I300"/>
    <mergeCell ref="B301:I301"/>
    <mergeCell ref="B302:I302"/>
    <mergeCell ref="B303:I303"/>
    <mergeCell ref="B304:I304"/>
    <mergeCell ref="B291:I291"/>
    <mergeCell ref="B292:I292"/>
    <mergeCell ref="B293:I293"/>
    <mergeCell ref="B294:I294"/>
    <mergeCell ref="B295:I295"/>
    <mergeCell ref="B296:I296"/>
    <mergeCell ref="B297:I297"/>
    <mergeCell ref="B298:I298"/>
    <mergeCell ref="B299:I299"/>
    <mergeCell ref="B282:I282"/>
    <mergeCell ref="B283:I283"/>
    <mergeCell ref="B284:I284"/>
    <mergeCell ref="B285:I285"/>
    <mergeCell ref="B286:I286"/>
    <mergeCell ref="B287:I287"/>
    <mergeCell ref="B288:I288"/>
    <mergeCell ref="B289:I289"/>
    <mergeCell ref="B290:I290"/>
    <mergeCell ref="B273:I273"/>
    <mergeCell ref="B274:I274"/>
    <mergeCell ref="B275:I275"/>
    <mergeCell ref="B276:I276"/>
    <mergeCell ref="B277:I277"/>
    <mergeCell ref="B278:I278"/>
    <mergeCell ref="B279:I279"/>
    <mergeCell ref="B280:I280"/>
    <mergeCell ref="B281:I281"/>
    <mergeCell ref="B264:I264"/>
    <mergeCell ref="B265:I265"/>
    <mergeCell ref="B266:I266"/>
    <mergeCell ref="B267:I267"/>
    <mergeCell ref="B268:I268"/>
    <mergeCell ref="B269:I269"/>
    <mergeCell ref="B270:I270"/>
    <mergeCell ref="B271:I271"/>
    <mergeCell ref="B272:I272"/>
    <mergeCell ref="B255:I255"/>
    <mergeCell ref="B256:I256"/>
    <mergeCell ref="B257:I257"/>
    <mergeCell ref="B258:I258"/>
    <mergeCell ref="B259:I259"/>
    <mergeCell ref="B260:I260"/>
    <mergeCell ref="B261:I261"/>
    <mergeCell ref="B262:I262"/>
    <mergeCell ref="B263:I263"/>
    <mergeCell ref="B246:I246"/>
    <mergeCell ref="B247:I247"/>
    <mergeCell ref="B248:I248"/>
    <mergeCell ref="B249:I249"/>
    <mergeCell ref="B250:I250"/>
    <mergeCell ref="B251:I251"/>
    <mergeCell ref="B252:I252"/>
    <mergeCell ref="B253:I253"/>
    <mergeCell ref="B254:I254"/>
    <mergeCell ref="B237:I237"/>
    <mergeCell ref="B238:I238"/>
    <mergeCell ref="B239:I239"/>
    <mergeCell ref="B240:I240"/>
    <mergeCell ref="B241:I241"/>
    <mergeCell ref="B242:I242"/>
    <mergeCell ref="B243:I243"/>
    <mergeCell ref="B244:I244"/>
    <mergeCell ref="B245:I245"/>
    <mergeCell ref="B228:I228"/>
    <mergeCell ref="B229:I229"/>
    <mergeCell ref="B230:I230"/>
    <mergeCell ref="B231:I231"/>
    <mergeCell ref="B232:I232"/>
    <mergeCell ref="B233:I233"/>
    <mergeCell ref="B234:I234"/>
    <mergeCell ref="B235:I235"/>
    <mergeCell ref="B236:I236"/>
    <mergeCell ref="B219:I219"/>
    <mergeCell ref="B220:I220"/>
    <mergeCell ref="B221:I221"/>
    <mergeCell ref="B222:I222"/>
    <mergeCell ref="B223:I223"/>
    <mergeCell ref="B224:I224"/>
    <mergeCell ref="B225:I225"/>
    <mergeCell ref="B226:I226"/>
    <mergeCell ref="B227:I227"/>
    <mergeCell ref="B210:I210"/>
    <mergeCell ref="B211:I211"/>
    <mergeCell ref="B212:I212"/>
    <mergeCell ref="B213:I213"/>
    <mergeCell ref="B214:I214"/>
    <mergeCell ref="B215:I215"/>
    <mergeCell ref="B216:I216"/>
    <mergeCell ref="B217:I217"/>
    <mergeCell ref="B218:I218"/>
    <mergeCell ref="B201:I201"/>
    <mergeCell ref="B202:I202"/>
    <mergeCell ref="B203:I203"/>
    <mergeCell ref="B204:I204"/>
    <mergeCell ref="B205:I205"/>
    <mergeCell ref="B206:I206"/>
    <mergeCell ref="B207:I207"/>
    <mergeCell ref="B208:I208"/>
    <mergeCell ref="B209:I209"/>
    <mergeCell ref="B192:I192"/>
    <mergeCell ref="B193:I193"/>
    <mergeCell ref="B194:I194"/>
    <mergeCell ref="B195:I195"/>
    <mergeCell ref="B196:I196"/>
    <mergeCell ref="B197:I197"/>
    <mergeCell ref="B198:I198"/>
    <mergeCell ref="B199:I199"/>
    <mergeCell ref="B200:I200"/>
    <mergeCell ref="B183:I183"/>
    <mergeCell ref="B184:I184"/>
    <mergeCell ref="B185:I185"/>
    <mergeCell ref="B186:I186"/>
    <mergeCell ref="B187:I187"/>
    <mergeCell ref="B188:I188"/>
    <mergeCell ref="B189:I189"/>
    <mergeCell ref="B190:I190"/>
    <mergeCell ref="B191:I191"/>
    <mergeCell ref="B174:I174"/>
    <mergeCell ref="B175:I175"/>
    <mergeCell ref="B176:I176"/>
    <mergeCell ref="B177:I177"/>
    <mergeCell ref="B178:I178"/>
    <mergeCell ref="B179:I179"/>
    <mergeCell ref="B180:I180"/>
    <mergeCell ref="B181:I181"/>
    <mergeCell ref="B182:I182"/>
    <mergeCell ref="B165:I165"/>
    <mergeCell ref="B166:I166"/>
    <mergeCell ref="B167:I167"/>
    <mergeCell ref="B168:I168"/>
    <mergeCell ref="B169:I169"/>
    <mergeCell ref="B170:I170"/>
    <mergeCell ref="B171:I171"/>
    <mergeCell ref="B172:I172"/>
    <mergeCell ref="B173:I173"/>
    <mergeCell ref="B156:I156"/>
    <mergeCell ref="B157:I157"/>
    <mergeCell ref="B158:I158"/>
    <mergeCell ref="B159:I159"/>
    <mergeCell ref="B160:I160"/>
    <mergeCell ref="B161:I161"/>
    <mergeCell ref="B162:I162"/>
    <mergeCell ref="B163:I163"/>
    <mergeCell ref="B164:I164"/>
    <mergeCell ref="B147:I147"/>
    <mergeCell ref="B148:I148"/>
    <mergeCell ref="B149:I149"/>
    <mergeCell ref="B150:I150"/>
    <mergeCell ref="B151:I151"/>
    <mergeCell ref="B152:I152"/>
    <mergeCell ref="B153:I153"/>
    <mergeCell ref="B154:I154"/>
    <mergeCell ref="B155:I155"/>
    <mergeCell ref="B138:I138"/>
    <mergeCell ref="B139:I139"/>
    <mergeCell ref="B140:I140"/>
    <mergeCell ref="B141:I141"/>
    <mergeCell ref="B142:I142"/>
    <mergeCell ref="B143:I143"/>
    <mergeCell ref="B144:I144"/>
    <mergeCell ref="B145:I145"/>
    <mergeCell ref="B146:I146"/>
    <mergeCell ref="B129:I129"/>
    <mergeCell ref="B130:I130"/>
    <mergeCell ref="B131:I131"/>
    <mergeCell ref="B132:I132"/>
    <mergeCell ref="B133:I133"/>
    <mergeCell ref="B134:I134"/>
    <mergeCell ref="B135:I135"/>
    <mergeCell ref="B136:I136"/>
    <mergeCell ref="B137:I137"/>
    <mergeCell ref="B120:I120"/>
    <mergeCell ref="B121:I121"/>
    <mergeCell ref="B122:I122"/>
    <mergeCell ref="B123:I123"/>
    <mergeCell ref="B124:I124"/>
    <mergeCell ref="B125:I125"/>
    <mergeCell ref="B126:I126"/>
    <mergeCell ref="B127:I127"/>
    <mergeCell ref="B128:I128"/>
    <mergeCell ref="B111:I111"/>
    <mergeCell ref="B112:I112"/>
    <mergeCell ref="B113:I113"/>
    <mergeCell ref="B114:I114"/>
    <mergeCell ref="B115:I115"/>
    <mergeCell ref="B116:I116"/>
    <mergeCell ref="B117:I117"/>
    <mergeCell ref="B118:I118"/>
    <mergeCell ref="B119:I119"/>
    <mergeCell ref="B102:I102"/>
    <mergeCell ref="B103:I103"/>
    <mergeCell ref="B104:I104"/>
    <mergeCell ref="B105:I105"/>
    <mergeCell ref="B106:I106"/>
    <mergeCell ref="B107:I107"/>
    <mergeCell ref="B108:I108"/>
    <mergeCell ref="B109:I109"/>
    <mergeCell ref="B110:I110"/>
    <mergeCell ref="B93:I93"/>
    <mergeCell ref="B94:I94"/>
    <mergeCell ref="B95:I95"/>
    <mergeCell ref="B96:I96"/>
    <mergeCell ref="B97:I97"/>
    <mergeCell ref="B98:I98"/>
    <mergeCell ref="B99:I99"/>
    <mergeCell ref="B100:I100"/>
    <mergeCell ref="B101:I101"/>
    <mergeCell ref="B84:I84"/>
    <mergeCell ref="B85:I85"/>
    <mergeCell ref="B86:I86"/>
    <mergeCell ref="B87:I87"/>
    <mergeCell ref="B88:I88"/>
    <mergeCell ref="B89:I89"/>
    <mergeCell ref="B90:I90"/>
    <mergeCell ref="B91:I91"/>
    <mergeCell ref="B92:I92"/>
    <mergeCell ref="B75:I75"/>
    <mergeCell ref="B76:I76"/>
    <mergeCell ref="B77:I77"/>
    <mergeCell ref="B78:I78"/>
    <mergeCell ref="B79:I79"/>
    <mergeCell ref="B80:I80"/>
    <mergeCell ref="B81:I81"/>
    <mergeCell ref="B82:I82"/>
    <mergeCell ref="B83:I83"/>
    <mergeCell ref="B66:I66"/>
    <mergeCell ref="B67:I67"/>
    <mergeCell ref="B68:I68"/>
    <mergeCell ref="B69:I69"/>
    <mergeCell ref="B70:I70"/>
    <mergeCell ref="B71:I71"/>
    <mergeCell ref="B72:I72"/>
    <mergeCell ref="B73:I73"/>
    <mergeCell ref="B74:I74"/>
    <mergeCell ref="B57:I57"/>
    <mergeCell ref="B58:I58"/>
    <mergeCell ref="B59:I59"/>
    <mergeCell ref="B60:I60"/>
    <mergeCell ref="B61:I61"/>
    <mergeCell ref="B62:I62"/>
    <mergeCell ref="B63:I63"/>
    <mergeCell ref="B64:I64"/>
    <mergeCell ref="B65:I65"/>
    <mergeCell ref="B48:I48"/>
    <mergeCell ref="B49:I49"/>
    <mergeCell ref="B50:I50"/>
    <mergeCell ref="B51:I51"/>
    <mergeCell ref="B52:I52"/>
    <mergeCell ref="B53:I53"/>
    <mergeCell ref="B54:I54"/>
    <mergeCell ref="B55:I55"/>
    <mergeCell ref="B56:I56"/>
    <mergeCell ref="B39:I39"/>
    <mergeCell ref="B40:I40"/>
    <mergeCell ref="B41:I41"/>
    <mergeCell ref="B42:I42"/>
    <mergeCell ref="B43:I43"/>
    <mergeCell ref="B44:I44"/>
    <mergeCell ref="B45:I45"/>
    <mergeCell ref="B46:I46"/>
    <mergeCell ref="B47:I47"/>
  </mergeCells>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R25"/>
  <sheetViews>
    <sheetView workbookViewId="0">
      <selection activeCell="S13" sqref="S13"/>
    </sheetView>
  </sheetViews>
  <sheetFormatPr defaultColWidth="8.86328125" defaultRowHeight="13.5" x14ac:dyDescent="0.1"/>
  <cols>
    <col min="3" max="3" width="7.6328125" customWidth="1"/>
    <col min="4" max="4" width="9.1328125" customWidth="1"/>
    <col min="6" max="6" width="11.86328125" customWidth="1"/>
    <col min="7" max="7" width="11.04296875" customWidth="1"/>
    <col min="8" max="8" width="7.49609375" customWidth="1"/>
    <col min="9" max="9" width="7.08984375" customWidth="1"/>
    <col min="10" max="10" width="8.1796875" customWidth="1"/>
    <col min="11" max="11" width="11.04296875" customWidth="1"/>
    <col min="13" max="13" width="18.81640625" customWidth="1"/>
    <col min="14" max="14" width="10.2265625" customWidth="1"/>
    <col min="15" max="15" width="11.86328125" customWidth="1"/>
  </cols>
  <sheetData>
    <row r="1" spans="1:18" ht="17.25" x14ac:dyDescent="0.1">
      <c r="A1" s="224" t="s">
        <v>2827</v>
      </c>
      <c r="B1" s="225"/>
      <c r="C1" s="225"/>
      <c r="D1" s="226"/>
      <c r="F1" s="227" t="s">
        <v>2828</v>
      </c>
      <c r="G1" s="92"/>
      <c r="H1" s="92"/>
      <c r="I1" s="92"/>
      <c r="J1" s="92"/>
      <c r="K1" s="92"/>
      <c r="M1" s="227" t="s">
        <v>2829</v>
      </c>
      <c r="N1" s="92"/>
      <c r="O1" s="92"/>
      <c r="P1" s="92"/>
      <c r="Q1" s="92"/>
      <c r="R1" s="92"/>
    </row>
    <row r="2" spans="1:18" ht="27" x14ac:dyDescent="0.2">
      <c r="A2" s="1"/>
      <c r="B2" s="2" t="s">
        <v>29</v>
      </c>
      <c r="C2" s="2" t="s">
        <v>30</v>
      </c>
      <c r="D2" s="2" t="s">
        <v>251</v>
      </c>
      <c r="E2" s="3"/>
      <c r="F2" s="1"/>
      <c r="G2" s="4" t="s">
        <v>2830</v>
      </c>
      <c r="H2" s="4" t="s">
        <v>2831</v>
      </c>
      <c r="I2" s="4" t="s">
        <v>72</v>
      </c>
      <c r="J2" s="4" t="s">
        <v>2832</v>
      </c>
      <c r="K2" s="4" t="s">
        <v>2833</v>
      </c>
      <c r="M2" s="4" t="s">
        <v>2834</v>
      </c>
      <c r="N2" s="4" t="s">
        <v>2835</v>
      </c>
      <c r="O2" s="4" t="s">
        <v>2836</v>
      </c>
      <c r="P2" s="4" t="s">
        <v>2837</v>
      </c>
      <c r="Q2" s="4" t="s">
        <v>2838</v>
      </c>
      <c r="R2" s="2" t="s">
        <v>2839</v>
      </c>
    </row>
    <row r="3" spans="1:18" ht="14.25" x14ac:dyDescent="0.2">
      <c r="A3" s="2" t="s">
        <v>43</v>
      </c>
      <c r="B3" s="5">
        <v>10</v>
      </c>
      <c r="C3" s="6">
        <f>INT(B3/2-5)</f>
        <v>0</v>
      </c>
      <c r="D3" s="6">
        <f>VLOOKUP(B3,图表!T1:U10,2,FALSE)</f>
        <v>2</v>
      </c>
      <c r="F3" s="4" t="s">
        <v>43</v>
      </c>
      <c r="G3" s="7">
        <f>B3</f>
        <v>10</v>
      </c>
      <c r="K3" s="25">
        <f>SUM(G3:J3)</f>
        <v>10</v>
      </c>
      <c r="M3" s="26" t="s">
        <v>2840</v>
      </c>
      <c r="N3" s="12">
        <v>1000</v>
      </c>
      <c r="O3" s="27">
        <f>VLOOKUP(M3,图表!K86:N97,2,0)*N3/100</f>
        <v>20</v>
      </c>
      <c r="P3" s="27">
        <f>VLOOKUP(M3,图表!K86:N97,3,0)*N3/100</f>
        <v>40</v>
      </c>
      <c r="Q3" s="27">
        <f>VLOOKUP(M3,图表!K86:N97,4,0)*N3/100</f>
        <v>20</v>
      </c>
      <c r="R3" s="28">
        <f>N3*0.2</f>
        <v>200</v>
      </c>
    </row>
    <row r="4" spans="1:18" ht="14.25" x14ac:dyDescent="0.2">
      <c r="A4" s="2" t="s">
        <v>50</v>
      </c>
      <c r="B4" s="8">
        <v>15</v>
      </c>
      <c r="C4" s="9">
        <f>INT(B4/2-5)</f>
        <v>2</v>
      </c>
      <c r="D4" s="9">
        <f>VLOOKUP(B4,图表!T1:U10,2,FALSE)</f>
        <v>9</v>
      </c>
      <c r="E4" s="3"/>
      <c r="F4" s="4" t="s">
        <v>50</v>
      </c>
      <c r="G4" s="7">
        <f>B4</f>
        <v>15</v>
      </c>
      <c r="K4" s="25">
        <f>SUM(G4:J4)</f>
        <v>15</v>
      </c>
    </row>
    <row r="5" spans="1:18" ht="14.25" x14ac:dyDescent="0.2">
      <c r="A5" s="2" t="s">
        <v>56</v>
      </c>
      <c r="B5" s="8">
        <v>15</v>
      </c>
      <c r="C5" s="9">
        <f>INT(B5/2-5)</f>
        <v>2</v>
      </c>
      <c r="D5" s="9">
        <f>VLOOKUP(B5,图表!T1:U10,2,FALSE)</f>
        <v>9</v>
      </c>
      <c r="E5" s="3"/>
      <c r="F5" s="4" t="s">
        <v>56</v>
      </c>
      <c r="G5" s="7">
        <f>B5</f>
        <v>15</v>
      </c>
      <c r="K5" s="25">
        <f>SUM(G5:J5)</f>
        <v>15</v>
      </c>
    </row>
    <row r="6" spans="1:18" ht="14.25" x14ac:dyDescent="0.2">
      <c r="A6" s="2" t="s">
        <v>64</v>
      </c>
      <c r="B6" s="8">
        <v>10</v>
      </c>
      <c r="C6" s="9">
        <f>INT(B6/2-5)</f>
        <v>0</v>
      </c>
      <c r="D6" s="9">
        <f>VLOOKUP(B6,图表!T1:U10,2,FALSE)</f>
        <v>2</v>
      </c>
      <c r="E6" s="3"/>
      <c r="F6" s="4" t="s">
        <v>64</v>
      </c>
      <c r="G6" s="7">
        <f>B6</f>
        <v>10</v>
      </c>
      <c r="K6" s="25">
        <f>SUM(G6:J6)</f>
        <v>10</v>
      </c>
    </row>
    <row r="7" spans="1:18" ht="14.25" x14ac:dyDescent="0.2">
      <c r="A7" s="2" t="s">
        <v>67</v>
      </c>
      <c r="B7" s="10">
        <v>15</v>
      </c>
      <c r="C7" s="11">
        <f>INT(B7/2-5)</f>
        <v>2</v>
      </c>
      <c r="D7" s="11">
        <f>VLOOKUP(B7,图表!T1:U10,2,FALSE)</f>
        <v>9</v>
      </c>
      <c r="E7" s="3"/>
      <c r="F7" s="4" t="s">
        <v>67</v>
      </c>
      <c r="G7" s="12">
        <f>B7</f>
        <v>15</v>
      </c>
      <c r="H7" s="13"/>
      <c r="I7" s="13"/>
      <c r="J7" s="13"/>
      <c r="K7" s="28">
        <f>SUM(G7:J7)</f>
        <v>15</v>
      </c>
    </row>
    <row r="8" spans="1:18" ht="17.25" x14ac:dyDescent="0.1">
      <c r="A8" s="14"/>
      <c r="D8" s="15"/>
      <c r="M8" s="224" t="s">
        <v>2841</v>
      </c>
      <c r="N8" s="225"/>
      <c r="O8" s="225"/>
      <c r="P8" s="225"/>
      <c r="Q8" s="225"/>
      <c r="R8" s="226"/>
    </row>
    <row r="9" spans="1:18" ht="14.25" x14ac:dyDescent="0.2">
      <c r="A9" s="2" t="s">
        <v>2842</v>
      </c>
      <c r="B9" s="16">
        <f>SUM(B3:B7)</f>
        <v>65</v>
      </c>
      <c r="C9" s="17">
        <f>SUM(C3:C7)</f>
        <v>6</v>
      </c>
      <c r="D9" s="17">
        <f>SUM(D3:D7)</f>
        <v>31</v>
      </c>
      <c r="E9" s="3"/>
      <c r="M9" s="4" t="s">
        <v>7</v>
      </c>
      <c r="N9" s="4" t="s">
        <v>2843</v>
      </c>
      <c r="O9" s="4" t="s">
        <v>2844</v>
      </c>
      <c r="P9" s="4" t="s">
        <v>2845</v>
      </c>
      <c r="Q9" s="4" t="s">
        <v>2846</v>
      </c>
      <c r="R9" s="2" t="s">
        <v>2847</v>
      </c>
    </row>
    <row r="10" spans="1:18" ht="14.25" x14ac:dyDescent="0.2">
      <c r="A10" s="18" t="s">
        <v>2848</v>
      </c>
      <c r="B10" s="19">
        <v>32</v>
      </c>
      <c r="C10" s="20" t="s">
        <v>2849</v>
      </c>
      <c r="D10" s="15"/>
      <c r="M10" s="26" t="s">
        <v>241</v>
      </c>
      <c r="N10" s="12">
        <v>20</v>
      </c>
      <c r="O10" s="12">
        <v>1</v>
      </c>
      <c r="P10" s="27">
        <f>VLOOKUP(M10,图表!Q86:T100,2,0)*N10*N10*O10</f>
        <v>480</v>
      </c>
      <c r="Q10" s="27">
        <f>VLOOKUP(M10,图表!Q86:T100,3,0)*N10*N10*O10</f>
        <v>0</v>
      </c>
      <c r="R10" s="28">
        <f>VLOOKUP(M10,图表!Q86:T100,4,0)*N10*N10*O10</f>
        <v>120</v>
      </c>
    </row>
    <row r="11" spans="1:18" ht="17.25" x14ac:dyDescent="0.2">
      <c r="A11" s="2" t="s">
        <v>2850</v>
      </c>
      <c r="B11" s="16">
        <f>B10-D9</f>
        <v>1</v>
      </c>
      <c r="C11" s="21" t="s">
        <v>217</v>
      </c>
      <c r="D11" s="22"/>
      <c r="F11" s="227" t="s">
        <v>2851</v>
      </c>
      <c r="G11" s="92"/>
      <c r="H11" s="92"/>
      <c r="I11" s="92"/>
      <c r="J11" s="92"/>
      <c r="K11" s="92"/>
    </row>
    <row r="12" spans="1:18" ht="14.25" x14ac:dyDescent="0.2">
      <c r="D12" s="20"/>
      <c r="F12" s="1"/>
      <c r="G12" s="4" t="s">
        <v>2852</v>
      </c>
      <c r="H12" s="4" t="s">
        <v>2853</v>
      </c>
      <c r="I12" s="4" t="s">
        <v>2854</v>
      </c>
      <c r="J12" s="95" t="s">
        <v>2855</v>
      </c>
      <c r="K12" s="96"/>
    </row>
    <row r="13" spans="1:18" ht="14.25" x14ac:dyDescent="0.1">
      <c r="A13" s="20"/>
      <c r="B13" s="20"/>
      <c r="C13" s="20"/>
      <c r="D13" s="20"/>
      <c r="F13" s="4" t="s">
        <v>2856</v>
      </c>
      <c r="G13" s="23" t="s">
        <v>2857</v>
      </c>
      <c r="H13">
        <v>9</v>
      </c>
      <c r="I13">
        <v>20</v>
      </c>
      <c r="J13" s="228">
        <f>IF(G13="均势",G16,IF(G13="一重优势",1-G15*G15,IF(G13="两重优势",1-G15*G15*G15,IF(G13="一重劣势",G16*G16,IF(G13="两重劣势",G16*G16*G16,IF(G13="三重优势",1-G15*G15*G15*G15,G16*G16*G16*G16))))))</f>
        <v>0.5</v>
      </c>
      <c r="K13" s="229"/>
    </row>
    <row r="14" spans="1:18" x14ac:dyDescent="0.1">
      <c r="A14" s="20"/>
      <c r="B14" s="20"/>
      <c r="C14" s="20"/>
      <c r="D14" s="20"/>
      <c r="F14" s="14"/>
      <c r="K14" s="15"/>
    </row>
    <row r="15" spans="1:18" ht="17.25" x14ac:dyDescent="0.2">
      <c r="A15" s="20"/>
      <c r="B15" s="20"/>
      <c r="C15" s="20"/>
      <c r="D15" s="20"/>
      <c r="F15" s="4" t="s">
        <v>2858</v>
      </c>
      <c r="G15" s="24">
        <f>MAX(-0.05+(I13-H13)/20,0)</f>
        <v>0.5</v>
      </c>
      <c r="K15" s="15"/>
      <c r="M15" s="224" t="s">
        <v>2859</v>
      </c>
      <c r="N15" s="225"/>
      <c r="O15" s="225"/>
      <c r="P15" s="225"/>
      <c r="Q15" s="225"/>
      <c r="R15" s="226"/>
    </row>
    <row r="16" spans="1:18" ht="14.25" x14ac:dyDescent="0.2">
      <c r="C16" s="20"/>
      <c r="D16" s="20"/>
      <c r="F16" s="4" t="s">
        <v>2860</v>
      </c>
      <c r="G16" s="24">
        <f>MIN(1.05-(I13-H13)/20,1)</f>
        <v>0.5</v>
      </c>
      <c r="H16" s="13"/>
      <c r="I16" s="13"/>
      <c r="J16" s="13"/>
      <c r="K16" s="30"/>
      <c r="M16" s="31"/>
      <c r="N16" s="29" t="s">
        <v>2861</v>
      </c>
      <c r="O16" s="29" t="s">
        <v>2862</v>
      </c>
      <c r="R16" s="15"/>
    </row>
    <row r="17" spans="3:18" ht="14.25" x14ac:dyDescent="0.2">
      <c r="C17" s="20"/>
      <c r="D17" s="20"/>
      <c r="M17" s="29" t="s">
        <v>2863</v>
      </c>
      <c r="N17" s="32">
        <v>2</v>
      </c>
      <c r="O17" s="5" t="s">
        <v>464</v>
      </c>
      <c r="Q17" s="95" t="s">
        <v>2864</v>
      </c>
      <c r="R17" s="97"/>
    </row>
    <row r="18" spans="3:18" ht="17.25" x14ac:dyDescent="0.2">
      <c r="C18" s="20"/>
      <c r="D18" s="20"/>
      <c r="F18" s="227" t="s">
        <v>2865</v>
      </c>
      <c r="G18" s="92"/>
      <c r="H18" s="92"/>
      <c r="I18" s="92"/>
      <c r="J18" s="92"/>
      <c r="K18" s="92"/>
      <c r="M18" s="29" t="s">
        <v>2866</v>
      </c>
      <c r="N18" s="33">
        <v>4</v>
      </c>
      <c r="O18" s="8" t="s">
        <v>226</v>
      </c>
      <c r="Q18" s="128">
        <f>N21+N17*VLOOKUP(O17,图表!K46:L50,2,0)+N18*VLOOKUP(O18,图表!K46:L50,2,0)+N19*VLOOKUP(O19,图表!K46:L50,2,0)+N20*VLOOKUP(O20,图表!K46:L50,2,0)</f>
        <v>27</v>
      </c>
      <c r="R18" s="130"/>
    </row>
    <row r="19" spans="3:18" ht="14.25" x14ac:dyDescent="0.2">
      <c r="C19" s="20"/>
      <c r="D19" s="20"/>
      <c r="F19" s="1"/>
      <c r="G19" s="4" t="s">
        <v>2852</v>
      </c>
      <c r="H19" s="4" t="s">
        <v>2853</v>
      </c>
      <c r="I19" s="4" t="s">
        <v>2867</v>
      </c>
      <c r="J19" s="95" t="s">
        <v>2868</v>
      </c>
      <c r="K19" s="96"/>
      <c r="M19" s="29" t="s">
        <v>2869</v>
      </c>
      <c r="N19" s="33"/>
      <c r="O19" s="8" t="s">
        <v>467</v>
      </c>
      <c r="Q19" s="95" t="s">
        <v>2870</v>
      </c>
      <c r="R19" s="97"/>
    </row>
    <row r="20" spans="3:18" ht="14.25" x14ac:dyDescent="0.2">
      <c r="C20" s="20"/>
      <c r="D20" s="20"/>
      <c r="F20" s="4" t="s">
        <v>2856</v>
      </c>
      <c r="G20" s="23" t="s">
        <v>2871</v>
      </c>
      <c r="H20">
        <v>3</v>
      </c>
      <c r="I20">
        <v>20</v>
      </c>
      <c r="J20" s="230">
        <f>IF(G20="均势",G23,IF(G20="一重优势",1-G22*G22,IF(G20="两重优势",1-G22*G22*G22,IF(G20="一重劣势",G23*G23,IF(G20="两重劣势",G23*G23*G23,IF(G20="三重优势",1-G22*G22*G22*G22,G23*G23*G23*G23))))))</f>
        <v>0.36</v>
      </c>
      <c r="K20" s="229"/>
      <c r="M20" s="29" t="s">
        <v>2872</v>
      </c>
      <c r="N20" s="34"/>
      <c r="O20" s="10" t="s">
        <v>473</v>
      </c>
      <c r="Q20" s="128">
        <f>N21+2*N17*VLOOKUP(O17,图表!K46:L50,2,0)+2*N18*VLOOKUP(O18,图表!K46:L50,2,0)+2*N19*VLOOKUP(O19,图表!K46:L50,2,0)+2*N20*VLOOKUP(O20,图表!K46:L50,2,0)</f>
        <v>44</v>
      </c>
      <c r="R20" s="130"/>
    </row>
    <row r="21" spans="3:18" ht="14.25" x14ac:dyDescent="0.2">
      <c r="C21" s="20"/>
      <c r="D21" s="20"/>
      <c r="F21" s="4" t="s">
        <v>2873</v>
      </c>
      <c r="G21" s="23">
        <v>2</v>
      </c>
      <c r="J21" s="95" t="s">
        <v>2874</v>
      </c>
      <c r="K21" s="96"/>
      <c r="M21" s="29" t="s">
        <v>2875</v>
      </c>
      <c r="N21" s="231">
        <v>10</v>
      </c>
      <c r="O21" s="231"/>
      <c r="P21" s="13"/>
      <c r="Q21" s="13"/>
      <c r="R21" s="30"/>
    </row>
    <row r="22" spans="3:18" ht="14.25" x14ac:dyDescent="0.2">
      <c r="C22" s="20"/>
      <c r="D22" s="20"/>
      <c r="F22" s="4" t="s">
        <v>2858</v>
      </c>
      <c r="G22" s="24">
        <f>1-G23</f>
        <v>0.8</v>
      </c>
      <c r="J22" s="228">
        <f>IF(G20="均势",0.05*G21,IF(G20="一重优势",1-(1-0.05*G21)*(1-0.05*G21),IF(G20="两重优势",1-(1-0.05*G21)*(1-0.05*G21)*(1-0.05*G21),IF(G20="三重优势",1-(1-0.05*G21)*(1-0.05*G21)*(1-0.05*G21)*(1-0.05*G21),IF(G20="一重劣势",(0.05*G21)*(0.05*G21),IF(G20="两重劣势",(0.05*G21)*(0.05*G21)*(0.05*G21),(0.05*G21)*(0.05*G21)*(0.05*G21)*(0.05*G21)))))))</f>
        <v>0.19</v>
      </c>
      <c r="K22" s="229"/>
    </row>
    <row r="23" spans="3:18" ht="17.25" x14ac:dyDescent="0.2">
      <c r="C23" s="20"/>
      <c r="D23" s="20"/>
      <c r="F23" s="4" t="s">
        <v>2860</v>
      </c>
      <c r="G23" s="24">
        <f>MIN(MAX(MIN(1.05-(I20-H20)/20,1),G21*0.05),0.95)</f>
        <v>0.2</v>
      </c>
      <c r="H23" s="13"/>
      <c r="I23" s="13"/>
      <c r="J23" s="13"/>
      <c r="K23" s="30"/>
      <c r="M23" s="227" t="s">
        <v>2876</v>
      </c>
      <c r="N23" s="92"/>
      <c r="O23" s="92"/>
      <c r="P23" s="92"/>
      <c r="Q23" s="92"/>
      <c r="R23" s="92"/>
    </row>
    <row r="24" spans="3:18" ht="14.25" x14ac:dyDescent="0.1">
      <c r="C24" s="20"/>
      <c r="D24" s="20"/>
      <c r="M24" s="95" t="s">
        <v>2877</v>
      </c>
      <c r="N24" s="96"/>
      <c r="O24" s="96"/>
      <c r="P24" s="128">
        <f>Q18*(J20-J22)+Q20*J22</f>
        <v>12.95</v>
      </c>
      <c r="Q24" s="129"/>
      <c r="R24" s="130"/>
    </row>
    <row r="25" spans="3:18" x14ac:dyDescent="0.1">
      <c r="C25" s="20"/>
      <c r="D25" s="20"/>
    </row>
  </sheetData>
  <mergeCells count="21">
    <mergeCell ref="J22:K22"/>
    <mergeCell ref="M23:R23"/>
    <mergeCell ref="M24:O24"/>
    <mergeCell ref="P24:R24"/>
    <mergeCell ref="J19:K19"/>
    <mergeCell ref="Q19:R19"/>
    <mergeCell ref="J20:K20"/>
    <mergeCell ref="Q20:R20"/>
    <mergeCell ref="J21:K21"/>
    <mergeCell ref="N21:O21"/>
    <mergeCell ref="J12:K12"/>
    <mergeCell ref="J13:K13"/>
    <mergeCell ref="M15:R15"/>
    <mergeCell ref="Q17:R17"/>
    <mergeCell ref="F18:K18"/>
    <mergeCell ref="Q18:R18"/>
    <mergeCell ref="A1:D1"/>
    <mergeCell ref="F1:K1"/>
    <mergeCell ref="M1:R1"/>
    <mergeCell ref="M8:R8"/>
    <mergeCell ref="F11:K11"/>
  </mergeCells>
  <dataValidations count="7">
    <dataValidation type="list" allowBlank="1" showInputMessage="1" showErrorMessage="1" sqref="M3" xr:uid="{00000000-0002-0000-0800-000000000000}">
      <formula1>"魔药,卷轴,法器,武器,护甲（布甲、皮甲、镶钉皮甲、蛛丝衣、藤甲、金竹甲、龙龟铠、木制盾牌）,护甲（链甲衫、鳞甲、半身板甲、链甲、板条甲、板甲、金属盾牌）,服饰（手套、护腿、斗篷、外套、帽子、鞋子）,服饰（护符、腰带、头饰、眼镜、项链、戒指）,奇物,攻城装置,载具"</formula1>
    </dataValidation>
    <dataValidation type="list" allowBlank="1" showInputMessage="1" showErrorMessage="1" sqref="B10" xr:uid="{00000000-0002-0000-0800-000001000000}">
      <formula1>"27,30,32,36"</formula1>
    </dataValidation>
    <dataValidation type="list" allowBlank="1" showInputMessage="1" showErrorMessage="1" sqref="M10" xr:uid="{00000000-0002-0000-0800-000002000000}">
      <formula1>"异怪,野兽,植物,天界生物,构装生物,不死生物,龙类,元素生物,精类,邪魔,巨人,类人生物,怪兽,泥怪"</formula1>
    </dataValidation>
    <dataValidation type="list" allowBlank="1" showInputMessage="1" showErrorMessage="1" sqref="G13 G20" xr:uid="{00000000-0002-0000-0800-000003000000}">
      <formula1>"均势,一重优势,两重优势,三重优势,一重劣势,两重劣势,三重劣势"</formula1>
    </dataValidation>
    <dataValidation type="list" allowBlank="1" showInputMessage="1" showErrorMessage="1" sqref="G21" xr:uid="{00000000-0002-0000-0800-000004000000}">
      <formula1>"1,2,3,4,5,6,7,8,9,10"</formula1>
    </dataValidation>
    <dataValidation type="list" allowBlank="1" showInputMessage="1" showErrorMessage="1" sqref="B3:B7" xr:uid="{00000000-0002-0000-0800-000005000000}">
      <formula1>"8,9,10,11,12,13,14,15,16"</formula1>
    </dataValidation>
    <dataValidation type="list" allowBlank="1" showInputMessage="1" showErrorMessage="1" sqref="O17:O20" xr:uid="{00000000-0002-0000-0800-000006000000}">
      <formula1>"d4,d6,d8,d10,d12"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9</vt:i4>
      </vt:variant>
      <vt:variant>
        <vt:lpstr>命名范围</vt:lpstr>
      </vt:variant>
      <vt:variant>
        <vt:i4>294</vt:i4>
      </vt:variant>
    </vt:vector>
  </HeadingPairs>
  <TitlesOfParts>
    <vt:vector size="303" baseType="lpstr">
      <vt:lpstr>角色</vt:lpstr>
      <vt:lpstr>主要情况</vt:lpstr>
      <vt:lpstr>职业特性</vt:lpstr>
      <vt:lpstr>装备</vt:lpstr>
      <vt:lpstr>法术</vt:lpstr>
      <vt:lpstr>战技</vt:lpstr>
      <vt:lpstr>怪物</vt:lpstr>
      <vt:lpstr>图表</vt:lpstr>
      <vt:lpstr>计算器</vt:lpstr>
      <vt:lpstr>矮人之坚毅</vt:lpstr>
      <vt:lpstr>俺寻思能行</vt:lpstr>
      <vt:lpstr>暗行者</vt:lpstr>
      <vt:lpstr>奥法骑士</vt:lpstr>
      <vt:lpstr>暴风龙纹</vt:lpstr>
      <vt:lpstr>本命武器</vt:lpstr>
      <vt:lpstr>冰封诅咒</vt:lpstr>
      <vt:lpstr>不死生物</vt:lpstr>
      <vt:lpstr>拆迁法术</vt:lpstr>
      <vt:lpstr>抄录龙纹</vt:lpstr>
      <vt:lpstr>超自然直觉</vt:lpstr>
      <vt:lpstr>炽烈爆发</vt:lpstr>
      <vt:lpstr>出神入化</vt:lpstr>
      <vt:lpstr>畜牧龙纹</vt:lpstr>
      <vt:lpstr>穿刺者</vt:lpstr>
      <vt:lpstr>穿透与回旋</vt:lpstr>
      <vt:lpstr>创生圣言</vt:lpstr>
      <vt:lpstr>创造龙纹</vt:lpstr>
      <vt:lpstr>大厨</vt:lpstr>
      <vt:lpstr>大一统理论</vt:lpstr>
      <vt:lpstr>德鲁伊</vt:lpstr>
      <vt:lpstr>低身之机敏</vt:lpstr>
      <vt:lpstr>第二领域</vt:lpstr>
      <vt:lpstr>点穴</vt:lpstr>
      <vt:lpstr>动作如潮</vt:lpstr>
      <vt:lpstr>斗殴高手</vt:lpstr>
      <vt:lpstr>毒师</vt:lpstr>
      <vt:lpstr>对人立体机动装置</vt:lpstr>
      <vt:lpstr>钝击者</vt:lpstr>
      <vt:lpstr>盾牌大师</vt:lpstr>
      <vt:lpstr>多样眼波射线</vt:lpstr>
      <vt:lpstr>额外吟唱</vt:lpstr>
      <vt:lpstr>二刀流</vt:lpstr>
      <vt:lpstr>法师</vt:lpstr>
      <vt:lpstr>法术储存</vt:lpstr>
      <vt:lpstr>法术穿透</vt:lpstr>
      <vt:lpstr>法术对抗大师</vt:lpstr>
      <vt:lpstr>法术分裂</vt:lpstr>
      <vt:lpstr>法术恒久</vt:lpstr>
      <vt:lpstr>法术极效</vt:lpstr>
      <vt:lpstr>法术疾发</vt:lpstr>
      <vt:lpstr>法术跨域</vt:lpstr>
      <vt:lpstr>法术扩展</vt:lpstr>
      <vt:lpstr>法术强效</vt:lpstr>
      <vt:lpstr>法术射手</vt:lpstr>
      <vt:lpstr>法术瞬发</vt:lpstr>
      <vt:lpstr>法术速发</vt:lpstr>
      <vt:lpstr>法术塑形</vt:lpstr>
      <vt:lpstr>法术稳固</vt:lpstr>
      <vt:lpstr>法术延时</vt:lpstr>
      <vt:lpstr>法术余力</vt:lpstr>
      <vt:lpstr>法术专攻</vt:lpstr>
      <vt:lpstr>法术追踪</vt:lpstr>
      <vt:lpstr>奋力冲刺</vt:lpstr>
      <vt:lpstr>风浪射手</vt:lpstr>
      <vt:lpstr>封锁记忆</vt:lpstr>
      <vt:lpstr>否决神力</vt:lpstr>
      <vt:lpstr>弗莱格索斯之焰</vt:lpstr>
      <vt:lpstr>浮光掠影</vt:lpstr>
      <vt:lpstr>钢铁坐骑</vt:lpstr>
      <vt:lpstr>高等卓尔魔法</vt:lpstr>
      <vt:lpstr>高效捕捉者</vt:lpstr>
      <vt:lpstr>攻城专家</vt:lpstr>
      <vt:lpstr>钩镰大师</vt:lpstr>
      <vt:lpstr>构装生物</vt:lpstr>
      <vt:lpstr>怪兽</vt:lpstr>
      <vt:lpstr>观察力</vt:lpstr>
      <vt:lpstr>贯手著棼</vt:lpstr>
      <vt:lpstr>光之符文</vt:lpstr>
      <vt:lpstr>虹彩塑形</vt:lpstr>
      <vt:lpstr>虹彩学徒</vt:lpstr>
      <vt:lpstr>荒野咆哮</vt:lpstr>
      <vt:lpstr>挥砍者</vt:lpstr>
      <vt:lpstr>毁灭真言</vt:lpstr>
      <vt:lpstr>混元流登堂弟子</vt:lpstr>
      <vt:lpstr>混元流及门弟子</vt:lpstr>
      <vt:lpstr>混元流入室弟子</vt:lpstr>
      <vt:lpstr>及安装</vt:lpstr>
      <vt:lpstr>及时救难</vt:lpstr>
      <vt:lpstr>即效法术</vt:lpstr>
      <vt:lpstr>技艺专家</vt:lpstr>
      <vt:lpstr>驾驶员</vt:lpstr>
      <vt:lpstr>坚地之心</vt:lpstr>
      <vt:lpstr>简易超魔</vt:lpstr>
      <vt:lpstr>见切与居合</vt:lpstr>
      <vt:lpstr>剑刃丛生</vt:lpstr>
      <vt:lpstr>剑艺</vt:lpstr>
      <vt:lpstr>健壮</vt:lpstr>
      <vt:lpstr>结果</vt:lpstr>
      <vt:lpstr>金属龙赋礼</vt:lpstr>
      <vt:lpstr>紧急兽化</vt:lpstr>
      <vt:lpstr>近程射手</vt:lpstr>
      <vt:lpstr>精金躯体</vt:lpstr>
      <vt:lpstr>精类</vt:lpstr>
      <vt:lpstr>精类触碰</vt:lpstr>
      <vt:lpstr>精灵之准</vt:lpstr>
      <vt:lpstr>精妙法术</vt:lpstr>
      <vt:lpstr>精通反制法术</vt:lpstr>
      <vt:lpstr>精通契约</vt:lpstr>
      <vt:lpstr>精通巫师杀手</vt:lpstr>
      <vt:lpstr>警觉</vt:lpstr>
      <vt:lpstr>警戒龙纹</vt:lpstr>
      <vt:lpstr>巨人</vt:lpstr>
      <vt:lpstr>巨武器大师</vt:lpstr>
      <vt:lpstr>绝对双刃</vt:lpstr>
      <vt:lpstr>绝境一搏</vt:lpstr>
      <vt:lpstr>军团式作战</vt:lpstr>
      <vt:lpstr>开山流登堂弟子</vt:lpstr>
      <vt:lpstr>开山流及门弟子</vt:lpstr>
      <vt:lpstr>开山流入室弟子</vt:lpstr>
      <vt:lpstr>慷慨吉运</vt:lpstr>
      <vt:lpstr>控制喷气口</vt:lpstr>
      <vt:lpstr>快速使用魔法装置</vt:lpstr>
      <vt:lpstr>狂怒</vt:lpstr>
      <vt:lpstr>狂战士</vt:lpstr>
      <vt:lpstr>蓝银缠绕</vt:lpstr>
      <vt:lpstr>类人生物</vt:lpstr>
      <vt:lpstr>离奇先见</vt:lpstr>
      <vt:lpstr>历史正文</vt:lpstr>
      <vt:lpstr>灵动借机</vt:lpstr>
      <vt:lpstr>灵魂装备</vt:lpstr>
      <vt:lpstr>灵活契约魔法</vt:lpstr>
      <vt:lpstr>灵活移动</vt:lpstr>
      <vt:lpstr>灵能师</vt:lpstr>
      <vt:lpstr>灵能武士</vt:lpstr>
      <vt:lpstr>灵胜于肉</vt:lpstr>
      <vt:lpstr>领袖之证</vt:lpstr>
      <vt:lpstr>龙</vt:lpstr>
      <vt:lpstr>龙锻</vt:lpstr>
      <vt:lpstr>龙类变身</vt:lpstr>
      <vt:lpstr>龙翼</vt:lpstr>
      <vt:lpstr>龙族快速恢复</vt:lpstr>
      <vt:lpstr>龙族天生武器</vt:lpstr>
      <vt:lpstr>鲁莽投掷</vt:lpstr>
      <vt:lpstr>罗比拉战术</vt:lpstr>
      <vt:lpstr>秘法之眼</vt:lpstr>
      <vt:lpstr>秘密幽影</vt:lpstr>
      <vt:lpstr>敏锐心灵</vt:lpstr>
      <vt:lpstr>命令不死生物</vt:lpstr>
      <vt:lpstr>魔法奥秘</vt:lpstr>
      <vt:lpstr>魔法学徒</vt:lpstr>
      <vt:lpstr>魔法装置融合</vt:lpstr>
      <vt:lpstr>魔力泉涌</vt:lpstr>
      <vt:lpstr>魔能爆大师</vt:lpstr>
      <vt:lpstr>魔能导师</vt:lpstr>
      <vt:lpstr>牧师</vt:lpstr>
      <vt:lpstr>能量混合</vt:lpstr>
      <vt:lpstr>能量替代</vt:lpstr>
      <vt:lpstr>泥怪</vt:lpstr>
      <vt:lpstr>念动力</vt:lpstr>
      <vt:lpstr>破邪斩</vt:lpstr>
      <vt:lpstr>奇境触碰</vt:lpstr>
      <vt:lpstr>奇械师</vt:lpstr>
      <vt:lpstr>奇械师注法</vt:lpstr>
      <vt:lpstr>祈求者</vt:lpstr>
      <vt:lpstr>骑乘战斗</vt:lpstr>
      <vt:lpstr>契术师</vt:lpstr>
      <vt:lpstr>千锤百炼</vt:lpstr>
      <vt:lpstr>乾坤一击</vt:lpstr>
      <vt:lpstr>枪手</vt:lpstr>
      <vt:lpstr>强健身心</vt:lpstr>
      <vt:lpstr>强劲法术</vt:lpstr>
      <vt:lpstr>强弩专家</vt:lpstr>
      <vt:lpstr>青年龙</vt:lpstr>
      <vt:lpstr>曲咒射术</vt:lpstr>
      <vt:lpstr>人马骑兵</vt:lpstr>
      <vt:lpstr>融汇百家</vt:lpstr>
      <vt:lpstr>散兵战术</vt:lpstr>
      <vt:lpstr>散人流登堂弟子</vt:lpstr>
      <vt:lpstr>散人流及门弟子</vt:lpstr>
      <vt:lpstr>散人流入室弟子</vt:lpstr>
      <vt:lpstr>色彩龙赋礼</vt:lpstr>
      <vt:lpstr>森林射手</vt:lpstr>
      <vt:lpstr>擅长异种武器</vt:lpstr>
      <vt:lpstr>哨兵</vt:lpstr>
      <vt:lpstr>深陷毒沼</vt:lpstr>
      <vt:lpstr>神官</vt:lpstr>
      <vt:lpstr>神机流登堂弟子</vt:lpstr>
      <vt:lpstr>神机流及门弟子</vt:lpstr>
      <vt:lpstr>神机流入室弟子</vt:lpstr>
      <vt:lpstr>神力追猎</vt:lpstr>
      <vt:lpstr>神射手</vt:lpstr>
      <vt:lpstr>神圣超魔法</vt:lpstr>
      <vt:lpstr>神速力</vt:lpstr>
      <vt:lpstr>神威</vt:lpstr>
      <vt:lpstr>升环使用魔法装置</vt:lpstr>
      <vt:lpstr>升阶幽影</vt:lpstr>
      <vt:lpstr>圣斗士顽强</vt:lpstr>
      <vt:lpstr>圣武士</vt:lpstr>
      <vt:lpstr>尸体工艺</vt:lpstr>
      <vt:lpstr>施法旋律</vt:lpstr>
      <vt:lpstr>适应性</vt:lpstr>
      <vt:lpstr>守护龙纹</vt:lpstr>
      <vt:lpstr>兽人式狂怒</vt:lpstr>
      <vt:lpstr>熟习</vt:lpstr>
      <vt:lpstr>术士</vt:lpstr>
      <vt:lpstr>双刀借机</vt:lpstr>
      <vt:lpstr>双武器超级战士</vt:lpstr>
      <vt:lpstr>双武器低级战士</vt:lpstr>
      <vt:lpstr>双武器高级战士</vt:lpstr>
      <vt:lpstr>双武器中级战士</vt:lpstr>
      <vt:lpstr>双重法术</vt:lpstr>
      <vt:lpstr>双重眼波射线</vt:lpstr>
      <vt:lpstr>私人星质构装体</vt:lpstr>
      <vt:lpstr>探索龙纹</vt:lpstr>
      <vt:lpstr>天界生物</vt:lpstr>
      <vt:lpstr>天界坐骑</vt:lpstr>
      <vt:lpstr>天照</vt:lpstr>
      <vt:lpstr>通行龙纹</vt:lpstr>
      <vt:lpstr>团队防御</vt:lpstr>
      <vt:lpstr>亡灵变身</vt:lpstr>
      <vt:lpstr>危机管理</vt:lpstr>
      <vt:lpstr>威力攻击</vt:lpstr>
      <vt:lpstr>巫婆诅咒</vt:lpstr>
      <vt:lpstr>巫师</vt:lpstr>
      <vt:lpstr>巫师杀手</vt:lpstr>
      <vt:lpstr>武器大师</vt:lpstr>
      <vt:lpstr>武僧</vt:lpstr>
      <vt:lpstr>雾隐之力</vt:lpstr>
      <vt:lpstr>戏法学者</vt:lpstr>
      <vt:lpstr>系挂灵光</vt:lpstr>
      <vt:lpstr>邪魔</vt:lpstr>
      <vt:lpstr>邪魔体质</vt:lpstr>
      <vt:lpstr>心电感应</vt:lpstr>
      <vt:lpstr>心灵学者</vt:lpstr>
      <vt:lpstr>心眼</vt:lpstr>
      <vt:lpstr>心中有剑</vt:lpstr>
      <vt:lpstr>幸运</vt:lpstr>
      <vt:lpstr>凶蛮打手</vt:lpstr>
      <vt:lpstr>玄武</vt:lpstr>
      <vt:lpstr>悬空法术</vt:lpstr>
      <vt:lpstr>旋转飞掷</vt:lpstr>
      <vt:lpstr>雪花战舞</vt:lpstr>
      <vt:lpstr>演员</vt:lpstr>
      <vt:lpstr>赝造灵光</vt:lpstr>
      <vt:lpstr>野兽</vt:lpstr>
      <vt:lpstr>医疗龙纹</vt:lpstr>
      <vt:lpstr>仪式施法者</vt:lpstr>
      <vt:lpstr>异怪</vt:lpstr>
      <vt:lpstr>异怪变身</vt:lpstr>
      <vt:lpstr>异种龙纹</vt:lpstr>
      <vt:lpstr>易筋洗髓</vt:lpstr>
      <vt:lpstr>阴影龙纹</vt:lpstr>
      <vt:lpstr>吟游诗人</vt:lpstr>
      <vt:lpstr>隐形法术</vt:lpstr>
      <vt:lpstr>英魂之刃</vt:lpstr>
      <vt:lpstr>盈余治疗</vt:lpstr>
      <vt:lpstr>影界触碰</vt:lpstr>
      <vt:lpstr>游荡者</vt:lpstr>
      <vt:lpstr>游龙流登堂弟子</vt:lpstr>
      <vt:lpstr>游龙流及门弟子</vt:lpstr>
      <vt:lpstr>游龙流入室弟子</vt:lpstr>
      <vt:lpstr>游侠</vt:lpstr>
      <vt:lpstr>语言学家</vt:lpstr>
      <vt:lpstr>元素</vt:lpstr>
      <vt:lpstr>元素导师</vt:lpstr>
      <vt:lpstr>远程法术</vt:lpstr>
      <vt:lpstr>月读</vt:lpstr>
      <vt:lpstr>越障法术</vt:lpstr>
      <vt:lpstr>运动员</vt:lpstr>
      <vt:lpstr>暂效法术</vt:lpstr>
      <vt:lpstr>增强星质构装体</vt:lpstr>
      <vt:lpstr>增强召唤</vt:lpstr>
      <vt:lpstr>摘星流登堂弟子</vt:lpstr>
      <vt:lpstr>摘星流及门弟子</vt:lpstr>
      <vt:lpstr>摘星流入室弟子</vt:lpstr>
      <vt:lpstr>粘液复苏</vt:lpstr>
      <vt:lpstr>战地施法者</vt:lpstr>
      <vt:lpstr>战斗反射</vt:lpstr>
      <vt:lpstr>战技借机</vt:lpstr>
      <vt:lpstr>战士</vt:lpstr>
      <vt:lpstr>长柄武器大师</vt:lpstr>
      <vt:lpstr>长长法杖</vt:lpstr>
      <vt:lpstr>招待龙纹</vt:lpstr>
      <vt:lpstr>侦测龙纹</vt:lpstr>
      <vt:lpstr>真气传脉</vt:lpstr>
      <vt:lpstr>真实幻术</vt:lpstr>
      <vt:lpstr>植物</vt:lpstr>
      <vt:lpstr>制造构装体</vt:lpstr>
      <vt:lpstr>制造神器</vt:lpstr>
      <vt:lpstr>中甲运用</vt:lpstr>
      <vt:lpstr>忠诚武器折返</vt:lpstr>
      <vt:lpstr>众雷之子</vt:lpstr>
      <vt:lpstr>重击大师</vt:lpstr>
      <vt:lpstr>重甲大师</vt:lpstr>
      <vt:lpstr>重甲运用</vt:lpstr>
      <vt:lpstr>重振精神</vt:lpstr>
      <vt:lpstr>逐渐消失</vt:lpstr>
      <vt:lpstr>专精法师</vt:lpstr>
      <vt:lpstr>专精专注</vt:lpstr>
      <vt:lpstr>专注旋律</vt:lpstr>
      <vt:lpstr>自救者</vt:lpstr>
      <vt:lpstr>自然施法</vt:lpstr>
      <vt:lpstr>自我存档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q06102030@163.com</dc:creator>
  <cp:lastModifiedBy>HP</cp:lastModifiedBy>
  <dcterms:created xsi:type="dcterms:W3CDTF">2023-05-12T11:15:00Z</dcterms:created>
  <dcterms:modified xsi:type="dcterms:W3CDTF">2024-09-01T08:18:49Z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2052-12.1.0.17857</vt:lpwstr>
  </property>
  <property fmtid="{D5CDD505-2E9C-101B-9397-08002B2CF9AE}" pid="3" name="ICV">
    <vt:lpwstr>2F936050435545A58B21C463CAD2A231_12</vt:lpwstr>
  </property>
</Properties>
</file>